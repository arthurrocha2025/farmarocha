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" sheetId="1" state="visible" r:id="rId1"/>
  </sheets>
  <definedNames>
    <definedName name="_xlnm._FilterDatabase" localSheetId="0" hidden="1">'Cotação'!$A$14:$J$552</definedName>
    <definedName name="_xlnm.Print_Titles" localSheetId="0">'Cotação'!$14:$14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C62828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1565C0"/>
      </patternFill>
    </fill>
    <fill>
      <patternFill patternType="solid">
        <fgColor rgb="00F9A825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0" fontId="4" fillId="5" borderId="1" pivotButton="0" quotePrefix="0" xfId="0"/>
    <xf numFmtId="4" fontId="4" fillId="2" borderId="1" pivotButton="0" quotePrefix="0" xfId="0"/>
    <xf numFmtId="1" fontId="4" fillId="2" borderId="1" applyAlignment="1" pivotButton="0" quotePrefix="0" xfId="0">
      <alignment horizontal="center"/>
    </xf>
    <xf numFmtId="4" fontId="4" fillId="5" borderId="1" pivotButton="0" quotePrefix="0" xfId="0"/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Rocha</author>
  </authors>
  <commentList>
    <comment ref="B14" authorId="0" shapeId="0">
      <text>
        <t>Código interno da Drogarias Rocha. Mesmo código em mais de uma linha = mesmo produto com EANs diferentes; cote o(s) EAN(s) que tiver.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52" customWidth="1" min="4" max="4"/>
    <col width="22" customWidth="1" min="5" max="5"/>
    <col width="10" customWidth="1" min="6" max="6"/>
    <col width="16" customWidth="1" min="7" max="7"/>
    <col width="13" customWidth="1" min="8" max="8"/>
    <col width="28" customWidth="1" min="9" max="9"/>
    <col width="14" customWidth="1" min="10" max="10"/>
  </cols>
  <sheetData>
    <row r="1">
      <c r="A1" s="1" t="inlineStr">
        <is>
          <t>DROGARIAS ROCHA — COTAÇÃO DE PREÇOS</t>
        </is>
      </c>
    </row>
    <row r="2">
      <c r="A2" s="2" t="inlineStr">
        <is>
          <t>Solicitação emitida em 05/10/2026  •  538 itens (EANs)</t>
        </is>
      </c>
    </row>
    <row r="4">
      <c r="A4" s="3" t="inlineStr">
        <is>
          <t>Distribuidora:</t>
        </is>
      </c>
      <c r="B4" s="4" t="inlineStr">
        <is>
          <t>PANPHARMA</t>
        </is>
      </c>
      <c r="C4" s="5" t="n"/>
      <c r="D4" s="5" t="n"/>
      <c r="F4" s="3" t="inlineStr">
        <is>
          <t>Prazo de pagamento:</t>
        </is>
      </c>
      <c r="G4" s="5" t="n"/>
      <c r="H4" s="5" t="n"/>
      <c r="I4" s="5" t="n"/>
    </row>
    <row r="5">
      <c r="A5" s="3" t="inlineStr">
        <is>
          <t>Vendedor(a):</t>
        </is>
      </c>
      <c r="B5" s="5" t="n"/>
      <c r="C5" s="5" t="n"/>
      <c r="D5" s="5" t="n"/>
      <c r="F5" s="3" t="inlineStr">
        <is>
          <t>Pedido mínimo (R$):</t>
        </is>
      </c>
      <c r="G5" s="5" t="n"/>
      <c r="H5" s="5" t="n"/>
      <c r="I5" s="5" t="n"/>
    </row>
    <row r="6">
      <c r="A6" s="3" t="inlineStr">
        <is>
          <t>Telefone / WhatsApp:</t>
        </is>
      </c>
      <c r="B6" s="5" t="n"/>
      <c r="C6" s="5" t="n"/>
      <c r="D6" s="5" t="n"/>
      <c r="F6" s="3" t="inlineStr">
        <is>
          <t>Frete / Prazo de entrega:</t>
        </is>
      </c>
      <c r="G6" s="5" t="n"/>
      <c r="H6" s="5" t="n"/>
      <c r="I6" s="5" t="n"/>
    </row>
    <row r="7">
      <c r="A7" s="3" t="inlineStr">
        <is>
          <t>E-mail:</t>
        </is>
      </c>
      <c r="B7" s="5" t="n"/>
      <c r="C7" s="5" t="n"/>
      <c r="D7" s="5" t="n"/>
      <c r="F7" s="3" t="inlineStr">
        <is>
          <t>Validade da proposta:</t>
        </is>
      </c>
      <c r="G7" s="5" t="n"/>
      <c r="H7" s="5" t="n"/>
      <c r="I7" s="5" t="n"/>
    </row>
    <row r="9">
      <c r="A9" s="6" t="inlineStr">
        <is>
          <t>COMO PREENCHER:  preencha somente as células AMARELAS (dados acima e colunas G, H e I da tabela).</t>
        </is>
      </c>
    </row>
    <row r="10">
      <c r="A10" s="7" t="inlineStr">
        <is>
          <t>• Cada linha é um EAN. Informe o PREÇO LÍQUIDO (já com desconto e impostos/ST) da embalagem que o EAN representa (caixa, display etc.). Ex.: 12,34</t>
        </is>
      </c>
    </row>
    <row r="11">
      <c r="A11" s="7" t="inlineStr">
        <is>
          <t>• Sem o item ou sem estoque: deixe o preço em branco. Estoque parcial: informe a quantidade disponível na coluna H.</t>
        </is>
      </c>
    </row>
    <row r="12">
      <c r="A12" s="7" t="inlineStr">
        <is>
          <t>• Não altere, exclua nem reordene linhas e colunas. Devolva este mesmo arquivo em Excel (.xlsx).</t>
        </is>
      </c>
    </row>
    <row r="14" ht="32" customHeight="1">
      <c r="A14" s="8" t="inlineStr">
        <is>
          <t>Item</t>
        </is>
      </c>
      <c r="B14" s="8" t="inlineStr">
        <is>
          <t>Cód. Rocha</t>
        </is>
      </c>
      <c r="C14" s="8" t="inlineStr">
        <is>
          <t>EAN</t>
        </is>
      </c>
      <c r="D14" s="8" t="inlineStr">
        <is>
          <t>Produto</t>
        </is>
      </c>
      <c r="E14" s="8" t="inlineStr">
        <is>
          <t>Fabricante</t>
        </is>
      </c>
      <c r="F14" s="8" t="inlineStr">
        <is>
          <t>Qtde (emb.)</t>
        </is>
      </c>
      <c r="G14" s="9" t="inlineStr">
        <is>
          <t>Preço líquido por emb. (R$)</t>
        </is>
      </c>
      <c r="H14" s="9" t="inlineStr">
        <is>
          <t>Qtde disponível (emb.)</t>
        </is>
      </c>
      <c r="I14" s="9" t="inlineStr">
        <is>
          <t>Observação</t>
        </is>
      </c>
      <c r="J14" s="8" t="inlineStr">
        <is>
          <t>Total (R$)</t>
        </is>
      </c>
    </row>
    <row r="15">
      <c r="A15" s="10" t="n">
        <v>1</v>
      </c>
      <c r="B15" s="10" t="n">
        <v>274461</v>
      </c>
      <c r="C15" s="11" t="inlineStr">
        <is>
          <t>7898040320973</t>
        </is>
      </c>
      <c r="D15" s="12" t="inlineStr">
        <is>
          <t>ABRILAR 7MG XPE FR 100ML+CM</t>
        </is>
      </c>
      <c r="E15" s="12" t="inlineStr">
        <is>
          <t>FQM/FARMA</t>
        </is>
      </c>
      <c r="F15" s="10" t="n">
        <v>5</v>
      </c>
      <c r="G15" s="13" t="n"/>
      <c r="H15" s="14" t="n"/>
      <c r="I15" s="5" t="n"/>
      <c r="J15" s="15">
        <f>IF(G15="","",F15*G15)</f>
        <v/>
      </c>
    </row>
    <row r="16">
      <c r="A16" s="16" t="n">
        <v>2</v>
      </c>
      <c r="B16" s="16" t="n">
        <v>25403</v>
      </c>
      <c r="C16" s="17" t="inlineStr">
        <is>
          <t>7897211100482</t>
        </is>
      </c>
      <c r="D16" s="18" t="inlineStr">
        <is>
          <t>ABS P/SEIOS AMAME DIA&amp;NOITE C/24-DEMAIS PROD</t>
        </is>
      </c>
      <c r="E16" s="18" t="inlineStr"/>
      <c r="F16" s="16" t="n">
        <v>4</v>
      </c>
      <c r="G16" s="13" t="n"/>
      <c r="H16" s="14" t="n"/>
      <c r="I16" s="5" t="n"/>
      <c r="J16" s="19">
        <f>IF(G16="","",F16*G16)</f>
        <v/>
      </c>
    </row>
    <row r="17">
      <c r="A17" s="10" t="n">
        <v>3</v>
      </c>
      <c r="B17" s="10" t="n">
        <v>618411</v>
      </c>
      <c r="C17" s="11" t="inlineStr">
        <is>
          <t>3282770153477</t>
        </is>
      </c>
      <c r="D17" s="12" t="inlineStr">
        <is>
          <t>ACTINE GEL DE LIMP 140G</t>
        </is>
      </c>
      <c r="E17" s="12" t="inlineStr">
        <is>
          <t>DARROW LABORATÓRIO</t>
        </is>
      </c>
      <c r="F17" s="10" t="n">
        <v>7</v>
      </c>
      <c r="G17" s="13" t="n"/>
      <c r="H17" s="14" t="n"/>
      <c r="I17" s="5" t="n"/>
      <c r="J17" s="15">
        <f>IF(G17="","",F17*G17)</f>
        <v/>
      </c>
    </row>
    <row r="18">
      <c r="A18" s="16" t="n">
        <v>4</v>
      </c>
      <c r="B18" s="16" t="n">
        <v>621431</v>
      </c>
      <c r="C18" s="17" t="inlineStr">
        <is>
          <t>3282770206036</t>
        </is>
      </c>
      <c r="D18" s="18" t="inlineStr">
        <is>
          <t>ACTINE PROT SOLAR FPS60 40G</t>
        </is>
      </c>
      <c r="E18" s="18" t="inlineStr">
        <is>
          <t>ELSEVE</t>
        </is>
      </c>
      <c r="F18" s="16" t="n">
        <v>2</v>
      </c>
      <c r="G18" s="13" t="n"/>
      <c r="H18" s="14" t="n"/>
      <c r="I18" s="5" t="n"/>
      <c r="J18" s="19">
        <f>IF(G18="","",F18*G18)</f>
        <v/>
      </c>
    </row>
    <row r="19">
      <c r="A19" s="10" t="n">
        <v>5</v>
      </c>
      <c r="B19" s="10" t="n">
        <v>621421</v>
      </c>
      <c r="C19" s="11" t="inlineStr">
        <is>
          <t>3282770206050</t>
        </is>
      </c>
      <c r="D19" s="12" t="inlineStr">
        <is>
          <t>ACTINE PROT SOLAR FPS60 COR 40G</t>
        </is>
      </c>
      <c r="E19" s="12" t="inlineStr">
        <is>
          <t>LA ROCHE</t>
        </is>
      </c>
      <c r="F19" s="10" t="n">
        <v>1</v>
      </c>
      <c r="G19" s="13" t="n"/>
      <c r="H19" s="14" t="n"/>
      <c r="I19" s="5" t="n"/>
      <c r="J19" s="15">
        <f>IF(G19="","",F19*G19)</f>
        <v/>
      </c>
    </row>
    <row r="20">
      <c r="A20" s="16" t="n">
        <v>6</v>
      </c>
      <c r="B20" s="16" t="n">
        <v>642771</v>
      </c>
      <c r="C20" s="17" t="inlineStr">
        <is>
          <t>7892828001016</t>
        </is>
      </c>
      <c r="D20" s="18" t="inlineStr">
        <is>
          <t>ADEFORTE ORAL 01 AMP</t>
        </is>
      </c>
      <c r="E20" s="18" t="inlineStr">
        <is>
          <t>GROSS</t>
        </is>
      </c>
      <c r="F20" s="16" t="n">
        <v>8</v>
      </c>
      <c r="G20" s="13" t="n"/>
      <c r="H20" s="14" t="n"/>
      <c r="I20" s="5" t="n"/>
      <c r="J20" s="19">
        <f>IF(G20="","",F20*G20)</f>
        <v/>
      </c>
    </row>
    <row r="21">
      <c r="A21" s="10" t="n">
        <v>7</v>
      </c>
      <c r="B21" s="10" t="n">
        <v>884</v>
      </c>
      <c r="C21" s="11" t="inlineStr">
        <is>
          <t>7892828002303</t>
        </is>
      </c>
      <c r="D21" s="12" t="inlineStr">
        <is>
          <t>ADEFORTE TURBO USO ORAL 2AMP 3ML</t>
        </is>
      </c>
      <c r="E21" s="12" t="inlineStr">
        <is>
          <t>GROSS</t>
        </is>
      </c>
      <c r="F21" s="10" t="n">
        <v>44</v>
      </c>
      <c r="G21" s="13" t="n"/>
      <c r="H21" s="14" t="n"/>
      <c r="I21" s="5" t="n"/>
      <c r="J21" s="15">
        <f>IF(G21="","",F21*G21)</f>
        <v/>
      </c>
    </row>
    <row r="22">
      <c r="A22" s="16" t="n">
        <v>8</v>
      </c>
      <c r="B22" s="16" t="n">
        <v>453221</v>
      </c>
      <c r="C22" s="17" t="inlineStr">
        <is>
          <t>7896269900150</t>
        </is>
      </c>
      <c r="D22" s="18" t="inlineStr">
        <is>
          <t>AEROLIN SPRAY 200DOS</t>
        </is>
      </c>
      <c r="E22" s="18" t="inlineStr">
        <is>
          <t>GSK</t>
        </is>
      </c>
      <c r="F22" s="16" t="n">
        <v>2</v>
      </c>
      <c r="G22" s="13" t="n"/>
      <c r="H22" s="14" t="n"/>
      <c r="I22" s="5" t="n"/>
      <c r="J22" s="19">
        <f>IF(G22="","",F22*G22)</f>
        <v/>
      </c>
    </row>
    <row r="23">
      <c r="A23" s="10" t="n">
        <v>9</v>
      </c>
      <c r="B23" s="10" t="n">
        <v>566661</v>
      </c>
      <c r="C23" s="11" t="inlineStr">
        <is>
          <t>7891317144166</t>
        </is>
      </c>
      <c r="D23" s="12" t="inlineStr">
        <is>
          <t>AIDE 3 200UI SOL OR FR 10ML</t>
        </is>
      </c>
      <c r="E23" s="12" t="inlineStr">
        <is>
          <t>EUROFARMA</t>
        </is>
      </c>
      <c r="F23" s="10" t="n">
        <v>1</v>
      </c>
      <c r="G23" s="13" t="n"/>
      <c r="H23" s="14" t="n"/>
      <c r="I23" s="5" t="n"/>
      <c r="J23" s="15">
        <f>IF(G23="","",F23*G23)</f>
        <v/>
      </c>
    </row>
    <row r="24">
      <c r="A24" s="16" t="n">
        <v>10</v>
      </c>
      <c r="B24" s="16" t="n">
        <v>650561</v>
      </c>
      <c r="C24" s="17" t="inlineStr">
        <is>
          <t>7896658039454</t>
        </is>
      </c>
      <c r="D24" s="18" t="inlineStr">
        <is>
          <t>ALGILIVE 160MG CX 10 CAP</t>
        </is>
      </c>
      <c r="E24" s="18" t="inlineStr">
        <is>
          <t>ACHE</t>
        </is>
      </c>
      <c r="F24" s="16" t="n">
        <v>1</v>
      </c>
      <c r="G24" s="13" t="n"/>
      <c r="H24" s="14" t="n"/>
      <c r="I24" s="5" t="n"/>
      <c r="J24" s="19">
        <f>IF(G24="","",F24*G24)</f>
        <v/>
      </c>
    </row>
    <row r="25">
      <c r="A25" s="10" t="n">
        <v>11</v>
      </c>
      <c r="B25" s="10" t="n">
        <v>367361</v>
      </c>
      <c r="C25" s="11" t="inlineStr">
        <is>
          <t>7891721023965</t>
        </is>
      </c>
      <c r="D25" s="12" t="inlineStr">
        <is>
          <t>ALGINAC 1,0+100,0+100,0MG CX 10 COMP REV LIB RETARD</t>
        </is>
      </c>
      <c r="E25" s="12" t="inlineStr">
        <is>
          <t>P&amp;G</t>
        </is>
      </c>
      <c r="F25" s="10" t="n">
        <v>10</v>
      </c>
      <c r="G25" s="13" t="n"/>
      <c r="H25" s="14" t="n"/>
      <c r="I25" s="5" t="n"/>
      <c r="J25" s="15">
        <f>IF(G25="","",F25*G25)</f>
        <v/>
      </c>
    </row>
    <row r="26">
      <c r="A26" s="16" t="n">
        <v>12</v>
      </c>
      <c r="B26" s="16" t="n">
        <v>367401</v>
      </c>
      <c r="C26" s="17" t="inlineStr">
        <is>
          <t>7891721029639</t>
        </is>
      </c>
      <c r="D26" s="18" t="inlineStr">
        <is>
          <t>ALGINAC 1,0+50,0+50,0MG CX 15 COMP</t>
        </is>
      </c>
      <c r="E26" s="18" t="inlineStr">
        <is>
          <t>P&amp;G</t>
        </is>
      </c>
      <c r="F26" s="16" t="n">
        <v>19</v>
      </c>
      <c r="G26" s="13" t="n"/>
      <c r="H26" s="14" t="n"/>
      <c r="I26" s="5" t="n"/>
      <c r="J26" s="19">
        <f>IF(G26="","",F26*G26)</f>
        <v/>
      </c>
    </row>
    <row r="27">
      <c r="A27" s="16" t="n">
        <v>13</v>
      </c>
      <c r="B27" s="16" t="n">
        <v>367401</v>
      </c>
      <c r="C27" s="17" t="inlineStr">
        <is>
          <t>7500435260527</t>
        </is>
      </c>
      <c r="D27" s="18" t="inlineStr">
        <is>
          <t>ALGINAC 1,0+50,0+50,0MG CX 15 COMP</t>
        </is>
      </c>
      <c r="E27" s="18" t="inlineStr">
        <is>
          <t>P&amp;G</t>
        </is>
      </c>
      <c r="F27" s="16" t="n">
        <v>19</v>
      </c>
      <c r="G27" s="13" t="n"/>
      <c r="H27" s="14" t="n"/>
      <c r="I27" s="5" t="n"/>
      <c r="J27" s="19">
        <f>IF(G27="","",F27*G27)</f>
        <v/>
      </c>
    </row>
    <row r="28">
      <c r="A28" s="10" t="n">
        <v>14</v>
      </c>
      <c r="B28" s="10" t="n">
        <v>367421</v>
      </c>
      <c r="C28" s="11" t="inlineStr">
        <is>
          <t>7891721029646</t>
        </is>
      </c>
      <c r="D28" s="12" t="inlineStr">
        <is>
          <t>ALGINAC 1,0+50,0+50,0MG CX 30 CP</t>
        </is>
      </c>
      <c r="E28" s="12" t="inlineStr">
        <is>
          <t>P&amp;G</t>
        </is>
      </c>
      <c r="F28" s="10" t="n">
        <v>2</v>
      </c>
      <c r="G28" s="13" t="n"/>
      <c r="H28" s="14" t="n"/>
      <c r="I28" s="5" t="n"/>
      <c r="J28" s="15">
        <f>IF(G28="","",F28*G28)</f>
        <v/>
      </c>
    </row>
    <row r="29">
      <c r="A29" s="16" t="n">
        <v>15</v>
      </c>
      <c r="B29" s="16" t="n">
        <v>210641</v>
      </c>
      <c r="C29" s="17" t="inlineStr">
        <is>
          <t>7891721008368</t>
        </is>
      </c>
      <c r="D29" s="18" t="inlineStr">
        <is>
          <t>ALGINAC 50,0+50,0MG/ML SOL INJ 3 AMP 2ML+3 AMP 1ML</t>
        </is>
      </c>
      <c r="E29" s="18" t="inlineStr">
        <is>
          <t>P&amp;G</t>
        </is>
      </c>
      <c r="F29" s="16" t="n">
        <v>2</v>
      </c>
      <c r="G29" s="13" t="n"/>
      <c r="H29" s="14" t="n"/>
      <c r="I29" s="5" t="n"/>
      <c r="J29" s="19">
        <f>IF(G29="","",F29*G29)</f>
        <v/>
      </c>
    </row>
    <row r="30">
      <c r="A30" s="10" t="n">
        <v>16</v>
      </c>
      <c r="B30" s="10" t="n">
        <v>295401</v>
      </c>
      <c r="C30" s="11" t="inlineStr">
        <is>
          <t>7891142982407</t>
        </is>
      </c>
      <c r="D30" s="12" t="inlineStr">
        <is>
          <t>ALIVIUM 400MG CX 10 CAP</t>
        </is>
      </c>
      <c r="E30" s="12" t="inlineStr">
        <is>
          <t>MANTECORP/FARMASA</t>
        </is>
      </c>
      <c r="F30" s="10" t="n">
        <v>1</v>
      </c>
      <c r="G30" s="13" t="n"/>
      <c r="H30" s="14" t="n"/>
      <c r="I30" s="5" t="n"/>
      <c r="J30" s="15">
        <f>IF(G30="","",F30*G30)</f>
        <v/>
      </c>
    </row>
    <row r="31">
      <c r="A31" s="16" t="n">
        <v>17</v>
      </c>
      <c r="B31" s="16" t="n">
        <v>5261</v>
      </c>
      <c r="C31" s="17" t="inlineStr">
        <is>
          <t>7891317004040</t>
        </is>
      </c>
      <c r="D31" s="18" t="inlineStr">
        <is>
          <t>AMORA 2,0+0,03MG CX 21 COMP REV</t>
        </is>
      </c>
      <c r="E31" s="18" t="inlineStr">
        <is>
          <t>EUROFARMA</t>
        </is>
      </c>
      <c r="F31" s="16" t="n">
        <v>4</v>
      </c>
      <c r="G31" s="13" t="n"/>
      <c r="H31" s="14" t="n"/>
      <c r="I31" s="5" t="n"/>
      <c r="J31" s="19">
        <f>IF(G31="","",F31*G31)</f>
        <v/>
      </c>
    </row>
    <row r="32">
      <c r="A32" s="10" t="n">
        <v>18</v>
      </c>
      <c r="B32" s="10" t="n">
        <v>71981</v>
      </c>
      <c r="C32" s="11" t="inlineStr">
        <is>
          <t>7896676414639</t>
        </is>
      </c>
      <c r="D32" s="12" t="inlineStr">
        <is>
          <t>ANA-FLEX 35+300+50MG CARTELA C/ 10CP</t>
        </is>
      </c>
      <c r="E32" s="12" t="inlineStr">
        <is>
          <t>CRISTALIA</t>
        </is>
      </c>
      <c r="F32" s="10" t="n">
        <v>1</v>
      </c>
      <c r="G32" s="13" t="n"/>
      <c r="H32" s="14" t="n"/>
      <c r="I32" s="5" t="n"/>
      <c r="J32" s="15">
        <f>IF(G32="","",F32*G32)</f>
        <v/>
      </c>
    </row>
    <row r="33">
      <c r="A33" s="16" t="n">
        <v>19</v>
      </c>
      <c r="B33" s="16" t="n">
        <v>124481</v>
      </c>
      <c r="C33" s="17" t="inlineStr">
        <is>
          <t>7896094207851</t>
        </is>
      </c>
      <c r="D33" s="18" t="inlineStr">
        <is>
          <t>ANCORON 200MG CX 30 COMP REV</t>
        </is>
      </c>
      <c r="E33" s="18" t="inlineStr">
        <is>
          <t>LIBBS</t>
        </is>
      </c>
      <c r="F33" s="16" t="n">
        <v>1</v>
      </c>
      <c r="G33" s="13" t="n"/>
      <c r="H33" s="14" t="n"/>
      <c r="I33" s="5" t="n"/>
      <c r="J33" s="19">
        <f>IF(G33="","",F33*G33)</f>
        <v/>
      </c>
    </row>
    <row r="34">
      <c r="A34" s="10" t="n">
        <v>20</v>
      </c>
      <c r="B34" s="10" t="n">
        <v>469661</v>
      </c>
      <c r="C34" s="11" t="inlineStr">
        <is>
          <t>7891317013967</t>
        </is>
      </c>
      <c r="D34" s="12" t="inlineStr">
        <is>
          <t>ANDOLBA 4,5%+0,5%+0,5% AER TOP TB 43G</t>
        </is>
      </c>
      <c r="E34" s="12" t="inlineStr">
        <is>
          <t>MOMENTA</t>
        </is>
      </c>
      <c r="F34" s="10" t="n">
        <v>2</v>
      </c>
      <c r="G34" s="13" t="n"/>
      <c r="H34" s="14" t="n"/>
      <c r="I34" s="5" t="n"/>
      <c r="J34" s="15">
        <f>IF(G34="","",F34*G34)</f>
        <v/>
      </c>
    </row>
    <row r="35">
      <c r="A35" s="16" t="n">
        <v>21</v>
      </c>
      <c r="B35" s="16" t="n">
        <v>25303</v>
      </c>
      <c r="C35" s="17" t="inlineStr">
        <is>
          <t>7891317036812</t>
        </is>
      </c>
      <c r="D35" s="18" t="inlineStr">
        <is>
          <t>ANDOLBA AEROSOL 43G</t>
        </is>
      </c>
      <c r="E35" s="18" t="inlineStr">
        <is>
          <t>MOMENTA</t>
        </is>
      </c>
      <c r="F35" s="16" t="n">
        <v>2</v>
      </c>
      <c r="G35" s="13" t="n"/>
      <c r="H35" s="14" t="n"/>
      <c r="I35" s="5" t="n"/>
      <c r="J35" s="19">
        <f>IF(G35="","",F35*G35)</f>
        <v/>
      </c>
    </row>
    <row r="36">
      <c r="A36" s="10" t="n">
        <v>22</v>
      </c>
      <c r="B36" s="10" t="n">
        <v>364341</v>
      </c>
      <c r="C36" s="11" t="inlineStr">
        <is>
          <t>7898040321505</t>
        </is>
      </c>
      <c r="D36" s="12" t="inlineStr">
        <is>
          <t>ANNITA 20MG/ML PO SUS ORAL FR 100ML</t>
        </is>
      </c>
      <c r="E36" s="12" t="inlineStr">
        <is>
          <t>FQM/FARMA</t>
        </is>
      </c>
      <c r="F36" s="10" t="n">
        <v>1</v>
      </c>
      <c r="G36" s="13" t="n"/>
      <c r="H36" s="14" t="n"/>
      <c r="I36" s="5" t="n"/>
      <c r="J36" s="15">
        <f>IF(G36="","",F36*G36)</f>
        <v/>
      </c>
    </row>
    <row r="37">
      <c r="A37" s="16" t="n">
        <v>23</v>
      </c>
      <c r="B37" s="16" t="n">
        <v>364361</v>
      </c>
      <c r="C37" s="17" t="inlineStr">
        <is>
          <t>7898040321420</t>
        </is>
      </c>
      <c r="D37" s="18" t="inlineStr">
        <is>
          <t>ANNITA 20MG/ML PO SUS ORAL FR 45ML</t>
        </is>
      </c>
      <c r="E37" s="18" t="inlineStr">
        <is>
          <t>FQM/FARMA</t>
        </is>
      </c>
      <c r="F37" s="16" t="n">
        <v>16</v>
      </c>
      <c r="G37" s="13" t="n"/>
      <c r="H37" s="14" t="n"/>
      <c r="I37" s="5" t="n"/>
      <c r="J37" s="19">
        <f>IF(G37="","",F37*G37)</f>
        <v/>
      </c>
    </row>
    <row r="38">
      <c r="A38" s="10" t="n">
        <v>24</v>
      </c>
      <c r="B38" s="10" t="n">
        <v>364321</v>
      </c>
      <c r="C38" s="11" t="inlineStr">
        <is>
          <t>7898040321512</t>
        </is>
      </c>
      <c r="D38" s="12" t="inlineStr">
        <is>
          <t>ANNITA 500MG CX 6 COMP</t>
        </is>
      </c>
      <c r="E38" s="12" t="inlineStr">
        <is>
          <t>FQM/FARMA</t>
        </is>
      </c>
      <c r="F38" s="10" t="n">
        <v>22</v>
      </c>
      <c r="G38" s="13" t="n"/>
      <c r="H38" s="14" t="n"/>
      <c r="I38" s="5" t="n"/>
      <c r="J38" s="15">
        <f>IF(G38="","",F38*G38)</f>
        <v/>
      </c>
    </row>
    <row r="39">
      <c r="A39" s="16" t="n">
        <v>25</v>
      </c>
      <c r="B39" s="16" t="n">
        <v>131861</v>
      </c>
      <c r="C39" s="17" t="inlineStr">
        <is>
          <t>7896094200227</t>
        </is>
      </c>
      <c r="D39" s="18" t="inlineStr">
        <is>
          <t>ANSITEC 5MG CX 20 COMP</t>
        </is>
      </c>
      <c r="E39" s="18" t="inlineStr">
        <is>
          <t>LIBBS</t>
        </is>
      </c>
      <c r="F39" s="16" t="n">
        <v>1</v>
      </c>
      <c r="G39" s="13" t="n"/>
      <c r="H39" s="14" t="n"/>
      <c r="I39" s="5" t="n"/>
      <c r="J39" s="19">
        <f>IF(G39="","",F39*G39)</f>
        <v/>
      </c>
    </row>
    <row r="40">
      <c r="A40" s="10" t="n">
        <v>26</v>
      </c>
      <c r="B40" s="10" t="n">
        <v>624171</v>
      </c>
      <c r="C40" s="11" t="inlineStr">
        <is>
          <t>7899706195089</t>
        </is>
      </c>
      <c r="D40" s="12" t="inlineStr">
        <is>
          <t>ANTHELIOS LRP AIRLIC FL FPS50 S/COR 40ML</t>
        </is>
      </c>
      <c r="E40" s="12" t="inlineStr">
        <is>
          <t>LOREAL</t>
        </is>
      </c>
      <c r="F40" s="10" t="n">
        <v>1</v>
      </c>
      <c r="G40" s="13" t="n"/>
      <c r="H40" s="14" t="n"/>
      <c r="I40" s="5" t="n"/>
      <c r="J40" s="15">
        <f>IF(G40="","",F40*G40)</f>
        <v/>
      </c>
    </row>
    <row r="41">
      <c r="A41" s="16" t="n">
        <v>27</v>
      </c>
      <c r="B41" s="16" t="n">
        <v>618051</v>
      </c>
      <c r="C41" s="17" t="inlineStr">
        <is>
          <t>7908615030098</t>
        </is>
      </c>
      <c r="D41" s="18" t="inlineStr">
        <is>
          <t>ANTHELIOS LRP AIRLIC FPS70 2.0 40G+NECESSARIE</t>
        </is>
      </c>
      <c r="E41" s="18" t="inlineStr">
        <is>
          <t>LA ROCHE</t>
        </is>
      </c>
      <c r="F41" s="16" t="n">
        <v>1</v>
      </c>
      <c r="G41" s="13" t="n"/>
      <c r="H41" s="14" t="n"/>
      <c r="I41" s="5" t="n"/>
      <c r="J41" s="19">
        <f>IF(G41="","",F41*G41)</f>
        <v/>
      </c>
    </row>
    <row r="42">
      <c r="A42" s="10" t="n">
        <v>28</v>
      </c>
      <c r="B42" s="10" t="n">
        <v>648861</v>
      </c>
      <c r="C42" s="11" t="inlineStr">
        <is>
          <t>7908615038384</t>
        </is>
      </c>
      <c r="D42" s="12" t="inlineStr">
        <is>
          <t>ANTHELIOS LRP AIRLIC+FLUIDO FPS50+EFFACL CONC 50G</t>
        </is>
      </c>
      <c r="E42" s="12" t="inlineStr">
        <is>
          <t>LOREAL</t>
        </is>
      </c>
      <c r="F42" s="10" t="n">
        <v>1</v>
      </c>
      <c r="G42" s="13" t="n"/>
      <c r="H42" s="14" t="n"/>
      <c r="I42" s="5" t="n"/>
      <c r="J42" s="15">
        <f>IF(G42="","",F42*G42)</f>
        <v/>
      </c>
    </row>
    <row r="43">
      <c r="A43" s="16" t="n">
        <v>29</v>
      </c>
      <c r="B43" s="16" t="n">
        <v>413621</v>
      </c>
      <c r="C43" s="17" t="inlineStr">
        <is>
          <t>7891317490133</t>
        </is>
      </c>
      <c r="D43" s="18" t="inlineStr">
        <is>
          <t>ANTROFI 10MG/G CREM VAG BG 30G+20 APLIC</t>
        </is>
      </c>
      <c r="E43" s="18" t="inlineStr">
        <is>
          <t>EUROFARMA</t>
        </is>
      </c>
      <c r="F43" s="16" t="n">
        <v>1</v>
      </c>
      <c r="G43" s="13" t="n"/>
      <c r="H43" s="14" t="n"/>
      <c r="I43" s="5" t="n"/>
      <c r="J43" s="19">
        <f>IF(G43="","",F43*G43)</f>
        <v/>
      </c>
    </row>
    <row r="44">
      <c r="A44" s="10" t="n">
        <v>30</v>
      </c>
      <c r="B44" s="10" t="n">
        <v>666011</v>
      </c>
      <c r="C44" s="11" t="inlineStr">
        <is>
          <t>7898639690586</t>
        </is>
      </c>
      <c r="D44" s="12" t="inlineStr">
        <is>
          <t>APAR PRES DIG HOME GP200 G-TECH-DEMAIS PROD</t>
        </is>
      </c>
      <c r="E44" s="12" t="inlineStr">
        <is>
          <t>G-TECH</t>
        </is>
      </c>
      <c r="F44" s="10" t="n">
        <v>2</v>
      </c>
      <c r="G44" s="13" t="n"/>
      <c r="H44" s="14" t="n"/>
      <c r="I44" s="5" t="n"/>
      <c r="J44" s="15">
        <f>IF(G44="","",F44*G44)</f>
        <v/>
      </c>
    </row>
    <row r="45">
      <c r="A45" s="16" t="n">
        <v>31</v>
      </c>
      <c r="B45" s="16" t="n">
        <v>607151</v>
      </c>
      <c r="C45" s="17" t="inlineStr">
        <is>
          <t>7898639690388</t>
        </is>
      </c>
      <c r="D45" s="18" t="inlineStr">
        <is>
          <t>APARELHO DE PRESSAO DIGITAL DE BRACO BSPII</t>
        </is>
      </c>
      <c r="E45" s="18" t="inlineStr">
        <is>
          <t>G-TECH</t>
        </is>
      </c>
      <c r="F45" s="16" t="n">
        <v>1</v>
      </c>
      <c r="G45" s="13" t="n"/>
      <c r="H45" s="14" t="n"/>
      <c r="I45" s="5" t="n"/>
      <c r="J45" s="19">
        <f>IF(G45="","",F45*G45)</f>
        <v/>
      </c>
    </row>
    <row r="46">
      <c r="A46" s="10" t="n">
        <v>32</v>
      </c>
      <c r="B46" s="10" t="n">
        <v>634561</v>
      </c>
      <c r="C46" s="11" t="inlineStr">
        <is>
          <t>7898639690524</t>
        </is>
      </c>
      <c r="D46" s="12" t="inlineStr">
        <is>
          <t>APARELHO DE PRESSAO DIGITAL DE PULSO PREMIUM</t>
        </is>
      </c>
      <c r="E46" s="12" t="inlineStr">
        <is>
          <t>G-TECH</t>
        </is>
      </c>
      <c r="F46" s="10" t="n">
        <v>4</v>
      </c>
      <c r="G46" s="13" t="n"/>
      <c r="H46" s="14" t="n"/>
      <c r="I46" s="5" t="n"/>
      <c r="J46" s="15">
        <f>IF(G46="","",F46*G46)</f>
        <v/>
      </c>
    </row>
    <row r="47">
      <c r="A47" s="16" t="n">
        <v>33</v>
      </c>
      <c r="B47" s="16" t="n">
        <v>149921</v>
      </c>
      <c r="C47" s="17" t="inlineStr">
        <is>
          <t>7896261018181</t>
        </is>
      </c>
      <c r="D47" s="18" t="inlineStr">
        <is>
          <t>APRESOLINA 25MG CX 20 DRG</t>
        </is>
      </c>
      <c r="E47" s="18" t="inlineStr">
        <is>
          <t>NOVARTIS</t>
        </is>
      </c>
      <c r="F47" s="16" t="n">
        <v>5</v>
      </c>
      <c r="G47" s="13" t="n"/>
      <c r="H47" s="14" t="n"/>
      <c r="I47" s="5" t="n"/>
      <c r="J47" s="19">
        <f>IF(G47="","",F47*G47)</f>
        <v/>
      </c>
    </row>
    <row r="48">
      <c r="A48" s="16" t="n">
        <v>34</v>
      </c>
      <c r="B48" s="16" t="n">
        <v>149921</v>
      </c>
      <c r="C48" s="17" t="inlineStr">
        <is>
          <t>7896006220534</t>
        </is>
      </c>
      <c r="D48" s="18" t="inlineStr">
        <is>
          <t>APRESOLINA 25MG CX 20 DRG</t>
        </is>
      </c>
      <c r="E48" s="18" t="inlineStr">
        <is>
          <t>NOVARTIS</t>
        </is>
      </c>
      <c r="F48" s="16" t="n">
        <v>5</v>
      </c>
      <c r="G48" s="13" t="n"/>
      <c r="H48" s="14" t="n"/>
      <c r="I48" s="5" t="n"/>
      <c r="J48" s="19">
        <f>IF(G48="","",F48*G48)</f>
        <v/>
      </c>
    </row>
    <row r="49">
      <c r="A49" s="10" t="n">
        <v>35</v>
      </c>
      <c r="B49" s="10" t="n">
        <v>515281</v>
      </c>
      <c r="C49" s="11" t="inlineStr">
        <is>
          <t>7896006220527</t>
        </is>
      </c>
      <c r="D49" s="12" t="inlineStr">
        <is>
          <t>APRESOLINA 25MG CX 60 DRG</t>
        </is>
      </c>
      <c r="E49" s="12" t="inlineStr">
        <is>
          <t>NOVARTIS</t>
        </is>
      </c>
      <c r="F49" s="10" t="n">
        <v>1</v>
      </c>
      <c r="G49" s="13" t="n"/>
      <c r="H49" s="14" t="n"/>
      <c r="I49" s="5" t="n"/>
      <c r="J49" s="15">
        <f>IF(G49="","",F49*G49)</f>
        <v/>
      </c>
    </row>
    <row r="50">
      <c r="A50" s="16" t="n">
        <v>36</v>
      </c>
      <c r="B50" s="16" t="n">
        <v>149961</v>
      </c>
      <c r="C50" s="17" t="inlineStr">
        <is>
          <t>7896261000223</t>
        </is>
      </c>
      <c r="D50" s="18" t="inlineStr">
        <is>
          <t>APRESOLINA 50MG CX 20 DRG</t>
        </is>
      </c>
      <c r="E50" s="18" t="inlineStr">
        <is>
          <t>NOVARTIS</t>
        </is>
      </c>
      <c r="F50" s="16" t="n">
        <v>2</v>
      </c>
      <c r="G50" s="13" t="n"/>
      <c r="H50" s="14" t="n"/>
      <c r="I50" s="5" t="n"/>
      <c r="J50" s="19">
        <f>IF(G50="","",F50*G50)</f>
        <v/>
      </c>
    </row>
    <row r="51">
      <c r="A51" s="16" t="n">
        <v>37</v>
      </c>
      <c r="B51" s="16" t="n">
        <v>149961</v>
      </c>
      <c r="C51" s="17" t="inlineStr">
        <is>
          <t>7896006220510</t>
        </is>
      </c>
      <c r="D51" s="18" t="inlineStr">
        <is>
          <t>APRESOLINA 50MG CX 20 DRG</t>
        </is>
      </c>
      <c r="E51" s="18" t="inlineStr">
        <is>
          <t>NOVARTIS</t>
        </is>
      </c>
      <c r="F51" s="16" t="n">
        <v>2</v>
      </c>
      <c r="G51" s="13" t="n"/>
      <c r="H51" s="14" t="n"/>
      <c r="I51" s="5" t="n"/>
      <c r="J51" s="19">
        <f>IF(G51="","",F51*G51)</f>
        <v/>
      </c>
    </row>
    <row r="52">
      <c r="A52" s="10" t="n">
        <v>38</v>
      </c>
      <c r="B52" s="10" t="n">
        <v>241121</v>
      </c>
      <c r="C52" s="11" t="inlineStr">
        <is>
          <t>7897337704984</t>
        </is>
      </c>
      <c r="D52" s="12" t="inlineStr">
        <is>
          <t>ARCOXIA 90MG CX 7 COMP</t>
        </is>
      </c>
      <c r="E52" s="12" t="inlineStr">
        <is>
          <t>ORGANON</t>
        </is>
      </c>
      <c r="F52" s="10" t="n">
        <v>2</v>
      </c>
      <c r="G52" s="13" t="n"/>
      <c r="H52" s="14" t="n"/>
      <c r="I52" s="5" t="n"/>
      <c r="J52" s="15">
        <f>IF(G52="","",F52*G52)</f>
        <v/>
      </c>
    </row>
    <row r="53">
      <c r="A53" s="16" t="n">
        <v>39</v>
      </c>
      <c r="B53" s="16" t="n">
        <v>619611</v>
      </c>
      <c r="C53" s="17" t="inlineStr">
        <is>
          <t>7898636190720</t>
        </is>
      </c>
      <c r="D53" s="18" t="inlineStr">
        <is>
          <t>ASEPXIA PO COMPA MARFIM 10G</t>
        </is>
      </c>
      <c r="E53" s="18" t="inlineStr">
        <is>
          <t>GENOMA</t>
        </is>
      </c>
      <c r="F53" s="16" t="n">
        <v>1</v>
      </c>
      <c r="G53" s="13" t="n"/>
      <c r="H53" s="14" t="n"/>
      <c r="I53" s="5" t="n"/>
      <c r="J53" s="19">
        <f>IF(G53="","",F53*G53)</f>
        <v/>
      </c>
    </row>
    <row r="54">
      <c r="A54" s="10" t="n">
        <v>40</v>
      </c>
      <c r="B54" s="10" t="n">
        <v>13921</v>
      </c>
      <c r="C54" s="11" t="inlineStr">
        <is>
          <t>7891106915175</t>
        </is>
      </c>
      <c r="D54" s="12" t="inlineStr">
        <is>
          <t>ASPIRINA 500MG CX 100 COMP ACLAR</t>
        </is>
      </c>
      <c r="E54" s="12" t="inlineStr">
        <is>
          <t>BAYER</t>
        </is>
      </c>
      <c r="F54" s="10" t="n">
        <v>1</v>
      </c>
      <c r="G54" s="13" t="n"/>
      <c r="H54" s="14" t="n"/>
      <c r="I54" s="5" t="n"/>
      <c r="J54" s="15">
        <f>IF(G54="","",F54*G54)</f>
        <v/>
      </c>
    </row>
    <row r="55">
      <c r="A55" s="16" t="n">
        <v>41</v>
      </c>
      <c r="B55" s="16" t="n">
        <v>14001</v>
      </c>
      <c r="C55" s="17" t="inlineStr">
        <is>
          <t>7891106915151</t>
        </is>
      </c>
      <c r="D55" s="18" t="inlineStr">
        <is>
          <t>ASPIRINA C EFERVESC 400+240MG LIMÃO CARTELA</t>
        </is>
      </c>
      <c r="E55" s="18" t="inlineStr">
        <is>
          <t>BAYER</t>
        </is>
      </c>
      <c r="F55" s="16" t="n">
        <v>1</v>
      </c>
      <c r="G55" s="13" t="n"/>
      <c r="H55" s="14" t="n"/>
      <c r="I55" s="5" t="n"/>
      <c r="J55" s="19">
        <f>IF(G55="","",F55*G55)</f>
        <v/>
      </c>
    </row>
    <row r="56">
      <c r="A56" s="16" t="n">
        <v>42</v>
      </c>
      <c r="B56" s="16" t="n">
        <v>14001</v>
      </c>
      <c r="C56" s="17" t="inlineStr">
        <is>
          <t>7891106000888</t>
        </is>
      </c>
      <c r="D56" s="18" t="inlineStr">
        <is>
          <t>ASPIRINA C EFERVESC 400+240MG LIMÃO CARTELA</t>
        </is>
      </c>
      <c r="E56" s="18" t="inlineStr">
        <is>
          <t>BAYER</t>
        </is>
      </c>
      <c r="F56" s="16" t="n">
        <v>1</v>
      </c>
      <c r="G56" s="13" t="n"/>
      <c r="H56" s="14" t="n"/>
      <c r="I56" s="5" t="n"/>
      <c r="J56" s="19">
        <f>IF(G56="","",F56*G56)</f>
        <v/>
      </c>
    </row>
    <row r="57">
      <c r="A57" s="10" t="n">
        <v>43</v>
      </c>
      <c r="B57" s="10" t="n">
        <v>594191</v>
      </c>
      <c r="C57" s="11" t="inlineStr">
        <is>
          <t>7891317014162</t>
        </is>
      </c>
      <c r="D57" s="12" t="inlineStr">
        <is>
          <t>ATAK CLAV 875+125MG CX 14 COMP REV</t>
        </is>
      </c>
      <c r="E57" s="12" t="inlineStr">
        <is>
          <t>MOMENTA</t>
        </is>
      </c>
      <c r="F57" s="10" t="n">
        <v>1</v>
      </c>
      <c r="G57" s="13" t="n"/>
      <c r="H57" s="14" t="n"/>
      <c r="I57" s="5" t="n"/>
      <c r="J57" s="15">
        <f>IF(G57="","",F57*G57)</f>
        <v/>
      </c>
    </row>
    <row r="58">
      <c r="A58" s="16" t="n">
        <v>44</v>
      </c>
      <c r="B58" s="16" t="n">
        <v>637931</v>
      </c>
      <c r="C58" s="17" t="inlineStr">
        <is>
          <t>7898968453098</t>
        </is>
      </c>
      <c r="D58" s="18" t="inlineStr">
        <is>
          <t>ATENSINA 0,100MG CX 30 COMP</t>
        </is>
      </c>
      <c r="E58" s="18" t="inlineStr">
        <is>
          <t>MAWDSLEYS</t>
        </is>
      </c>
      <c r="F58" s="16" t="n">
        <v>1</v>
      </c>
      <c r="G58" s="13" t="n"/>
      <c r="H58" s="14" t="n"/>
      <c r="I58" s="5" t="n"/>
      <c r="J58" s="19">
        <f>IF(G58="","",F58*G58)</f>
        <v/>
      </c>
    </row>
    <row r="59">
      <c r="A59" s="10" t="n">
        <v>45</v>
      </c>
      <c r="B59" s="10" t="n">
        <v>670451</v>
      </c>
      <c r="C59" s="11" t="inlineStr">
        <is>
          <t>7896637033947</t>
        </is>
      </c>
      <c r="D59" s="12" t="inlineStr">
        <is>
          <t>ATENTAH 10MG C/30 CAPS (C1)-REFERENCIA</t>
        </is>
      </c>
      <c r="E59" s="12" t="inlineStr">
        <is>
          <t>APSEN</t>
        </is>
      </c>
      <c r="F59" s="10" t="n">
        <v>1</v>
      </c>
      <c r="G59" s="13" t="n"/>
      <c r="H59" s="14" t="n"/>
      <c r="I59" s="5" t="n"/>
      <c r="J59" s="15">
        <f>IF(G59="","",F59*G59)</f>
        <v/>
      </c>
    </row>
    <row r="60">
      <c r="A60" s="16" t="n">
        <v>46</v>
      </c>
      <c r="B60" s="16" t="n">
        <v>582181</v>
      </c>
      <c r="C60" s="17" t="inlineStr">
        <is>
          <t>7896026307826</t>
        </is>
      </c>
      <c r="D60" s="18" t="inlineStr">
        <is>
          <t>ATROVENT 0,25MG/ML SOL INAL CT FR VD AMB X 20ML</t>
        </is>
      </c>
      <c r="E60" s="18" t="inlineStr">
        <is>
          <t>BOEHRINGER</t>
        </is>
      </c>
      <c r="F60" s="16" t="n">
        <v>2</v>
      </c>
      <c r="G60" s="13" t="n"/>
      <c r="H60" s="14" t="n"/>
      <c r="I60" s="5" t="n"/>
      <c r="J60" s="19">
        <f>IF(G60="","",F60*G60)</f>
        <v/>
      </c>
    </row>
    <row r="61">
      <c r="A61" s="10" t="n">
        <v>47</v>
      </c>
      <c r="B61" s="10" t="n">
        <v>488841</v>
      </c>
      <c r="C61" s="11" t="inlineStr">
        <is>
          <t>7891317010287</t>
        </is>
      </c>
      <c r="D61" s="12" t="inlineStr">
        <is>
          <t>ATTENZE 10MG CX 30 COMP</t>
        </is>
      </c>
      <c r="E61" s="12" t="inlineStr">
        <is>
          <t>EUROFARMA</t>
        </is>
      </c>
      <c r="F61" s="10" t="n">
        <v>1</v>
      </c>
      <c r="G61" s="13" t="n"/>
      <c r="H61" s="14" t="n"/>
      <c r="I61" s="5" t="n"/>
      <c r="J61" s="15">
        <f>IF(G61="","",F61*G61)</f>
        <v/>
      </c>
    </row>
    <row r="62">
      <c r="A62" s="16" t="n">
        <v>48</v>
      </c>
      <c r="B62" s="16" t="n">
        <v>258201</v>
      </c>
      <c r="C62" s="17" t="inlineStr">
        <is>
          <t>7896015518875</t>
        </is>
      </c>
      <c r="D62" s="18" t="inlineStr">
        <is>
          <t>AVAMYS 27,5MG SPRAY NAS 120 DOS</t>
        </is>
      </c>
      <c r="E62" s="18" t="inlineStr">
        <is>
          <t>GSK</t>
        </is>
      </c>
      <c r="F62" s="16" t="n">
        <v>5</v>
      </c>
      <c r="G62" s="13" t="n"/>
      <c r="H62" s="14" t="n"/>
      <c r="I62" s="5" t="n"/>
      <c r="J62" s="19">
        <f>IF(G62="","",F62*G62)</f>
        <v/>
      </c>
    </row>
    <row r="63">
      <c r="A63" s="10" t="n">
        <v>49</v>
      </c>
      <c r="B63" s="10" t="n">
        <v>416341</v>
      </c>
      <c r="C63" s="11" t="inlineStr">
        <is>
          <t>7896658026195</t>
        </is>
      </c>
      <c r="D63" s="12" t="inlineStr">
        <is>
          <t>AVIDE 100MG CX 9 CAP</t>
        </is>
      </c>
      <c r="E63" s="12" t="inlineStr">
        <is>
          <t>ACHE</t>
        </is>
      </c>
      <c r="F63" s="10" t="n">
        <v>3</v>
      </c>
      <c r="G63" s="13" t="n"/>
      <c r="H63" s="14" t="n"/>
      <c r="I63" s="5" t="n"/>
      <c r="J63" s="15">
        <f>IF(G63="","",F63*G63)</f>
        <v/>
      </c>
    </row>
    <row r="64">
      <c r="A64" s="16" t="n">
        <v>50</v>
      </c>
      <c r="B64" s="16" t="n">
        <v>15761</v>
      </c>
      <c r="C64" s="17" t="inlineStr">
        <is>
          <t>5702191025637</t>
        </is>
      </c>
      <c r="D64" s="18" t="inlineStr">
        <is>
          <t>AZELAN 150 MG/G GEL CT BG AL X 30 G</t>
        </is>
      </c>
      <c r="E64" s="18" t="inlineStr">
        <is>
          <t>LEO PHARMA</t>
        </is>
      </c>
      <c r="F64" s="16" t="n">
        <v>3</v>
      </c>
      <c r="G64" s="13" t="n"/>
      <c r="H64" s="14" t="n"/>
      <c r="I64" s="5" t="n"/>
      <c r="J64" s="19">
        <f>IF(G64="","",F64*G64)</f>
        <v/>
      </c>
    </row>
    <row r="65">
      <c r="A65" s="10" t="n">
        <v>51</v>
      </c>
      <c r="B65" s="10" t="n">
        <v>265661</v>
      </c>
      <c r="C65" s="11" t="inlineStr">
        <is>
          <t>8902220106079</t>
        </is>
      </c>
      <c r="D65" s="12" t="inlineStr">
        <is>
          <t>AZUKON MR 30MG CX 30 COMP LIB PROL</t>
        </is>
      </c>
      <c r="E65" s="12" t="inlineStr">
        <is>
          <t>TORRENT DO BRASIL</t>
        </is>
      </c>
      <c r="F65" s="10" t="n">
        <v>3</v>
      </c>
      <c r="G65" s="13" t="n"/>
      <c r="H65" s="14" t="n"/>
      <c r="I65" s="5" t="n"/>
      <c r="J65" s="15">
        <f>IF(G65="","",F65*G65)</f>
        <v/>
      </c>
    </row>
    <row r="66">
      <c r="A66" s="16" t="n">
        <v>52</v>
      </c>
      <c r="B66" s="16" t="n">
        <v>645591</v>
      </c>
      <c r="C66" s="17" t="inlineStr">
        <is>
          <t>7898040328603</t>
        </is>
      </c>
      <c r="D66" s="18" t="inlineStr">
        <is>
          <t>BACTRIM F CX 10 COMP</t>
        </is>
      </c>
      <c r="E66" s="18" t="inlineStr">
        <is>
          <t>FQM/FARMA</t>
        </is>
      </c>
      <c r="F66" s="16" t="n">
        <v>3</v>
      </c>
      <c r="G66" s="13" t="n"/>
      <c r="H66" s="14" t="n"/>
      <c r="I66" s="5" t="n"/>
      <c r="J66" s="19">
        <f>IF(G66="","",F66*G66)</f>
        <v/>
      </c>
    </row>
    <row r="67">
      <c r="A67" s="10" t="n">
        <v>53</v>
      </c>
      <c r="B67" s="10" t="n">
        <v>354621</v>
      </c>
      <c r="C67" s="11" t="inlineStr">
        <is>
          <t>7896015519834</t>
        </is>
      </c>
      <c r="D67" s="12" t="inlineStr">
        <is>
          <t>BACTROBAN POMADA BG 10G</t>
        </is>
      </c>
      <c r="E67" s="12" t="inlineStr">
        <is>
          <t>GSK</t>
        </is>
      </c>
      <c r="F67" s="10" t="n">
        <v>1</v>
      </c>
      <c r="G67" s="13" t="n"/>
      <c r="H67" s="14" t="n"/>
      <c r="I67" s="5" t="n"/>
      <c r="J67" s="15">
        <f>IF(G67="","",F67*G67)</f>
        <v/>
      </c>
    </row>
    <row r="68">
      <c r="A68" s="16" t="n">
        <v>54</v>
      </c>
      <c r="B68" s="16" t="n">
        <v>114701</v>
      </c>
      <c r="C68" s="17" t="inlineStr">
        <is>
          <t>7891010974923</t>
        </is>
      </c>
      <c r="D68" s="18" t="inlineStr">
        <is>
          <t>BENALET 5+50+10MG PASTILHA CARTELA MEL/LIMAO C/ 4UN</t>
        </is>
      </c>
      <c r="E68" s="18" t="inlineStr">
        <is>
          <t>JOHNSON &amp; JOHNSON</t>
        </is>
      </c>
      <c r="F68" s="16" t="n">
        <v>1</v>
      </c>
      <c r="G68" s="13" t="n"/>
      <c r="H68" s="14" t="n"/>
      <c r="I68" s="5" t="n"/>
      <c r="J68" s="19">
        <f>IF(G68="","",F68*G68)</f>
        <v/>
      </c>
    </row>
    <row r="69">
      <c r="A69" s="16" t="n">
        <v>55</v>
      </c>
      <c r="B69" s="16" t="n">
        <v>114701</v>
      </c>
      <c r="C69" s="17" t="inlineStr">
        <is>
          <t>7891010256685</t>
        </is>
      </c>
      <c r="D69" s="18" t="inlineStr">
        <is>
          <t>BENALET 5+50+10MG PASTILHA CARTELA MEL/LIMAO C/ 4UN</t>
        </is>
      </c>
      <c r="E69" s="18" t="inlineStr">
        <is>
          <t>JOHNSON &amp; JOHNSON</t>
        </is>
      </c>
      <c r="F69" s="16" t="n">
        <v>1</v>
      </c>
      <c r="G69" s="13" t="n"/>
      <c r="H69" s="14" t="n"/>
      <c r="I69" s="5" t="n"/>
      <c r="J69" s="19">
        <f>IF(G69="","",F69*G69)</f>
        <v/>
      </c>
    </row>
    <row r="70">
      <c r="A70" s="10" t="n">
        <v>56</v>
      </c>
      <c r="B70" s="10" t="n">
        <v>657751</v>
      </c>
      <c r="C70" s="11" t="inlineStr">
        <is>
          <t>7891010256692</t>
        </is>
      </c>
      <c r="D70" s="12" t="inlineStr">
        <is>
          <t>BENALET 5+50+10MG PASTILHA CARTELA MENTA C/ 4UN</t>
        </is>
      </c>
      <c r="E70" s="12" t="inlineStr">
        <is>
          <t>JOHNSON &amp; JOHNSON</t>
        </is>
      </c>
      <c r="F70" s="10" t="n">
        <v>1</v>
      </c>
      <c r="G70" s="13" t="n"/>
      <c r="H70" s="14" t="n"/>
      <c r="I70" s="5" t="n"/>
      <c r="J70" s="15">
        <f>IF(G70="","",F70*G70)</f>
        <v/>
      </c>
    </row>
    <row r="71">
      <c r="A71" s="16" t="n">
        <v>57</v>
      </c>
      <c r="B71" s="16" t="n">
        <v>497121</v>
      </c>
      <c r="C71" s="17" t="inlineStr">
        <is>
          <t>7891268402025</t>
        </is>
      </c>
      <c r="D71" s="18" t="inlineStr">
        <is>
          <t>BENALET 5+50+10MG PASTILHA SB MEL E LIMAO CX C/ 12UN</t>
        </is>
      </c>
      <c r="E71" s="18" t="inlineStr">
        <is>
          <t>JOHNSON &amp; JOHNSON</t>
        </is>
      </c>
      <c r="F71" s="16" t="n">
        <v>2</v>
      </c>
      <c r="G71" s="13" t="n"/>
      <c r="H71" s="14" t="n"/>
      <c r="I71" s="5" t="n"/>
      <c r="J71" s="19">
        <f>IF(G71="","",F71*G71)</f>
        <v/>
      </c>
    </row>
    <row r="72">
      <c r="A72" s="10" t="n">
        <v>58</v>
      </c>
      <c r="B72" s="10" t="n">
        <v>114681</v>
      </c>
      <c r="C72" s="11" t="inlineStr">
        <is>
          <t>7891010974930</t>
        </is>
      </c>
      <c r="D72" s="12" t="inlineStr">
        <is>
          <t>BENALET 5+50+10MG PASTILHA SB MENTA CX C/ 12UN</t>
        </is>
      </c>
      <c r="E72" s="12" t="inlineStr">
        <is>
          <t>JOHNSON &amp; JOHNSON</t>
        </is>
      </c>
      <c r="F72" s="10" t="n">
        <v>1</v>
      </c>
      <c r="G72" s="13" t="n"/>
      <c r="H72" s="14" t="n"/>
      <c r="I72" s="5" t="n"/>
      <c r="J72" s="15">
        <f>IF(G72="","",F72*G72)</f>
        <v/>
      </c>
    </row>
    <row r="73">
      <c r="A73" s="10" t="n">
        <v>59</v>
      </c>
      <c r="B73" s="10" t="n">
        <v>114681</v>
      </c>
      <c r="C73" s="11" t="inlineStr">
        <is>
          <t>7891268402018</t>
        </is>
      </c>
      <c r="D73" s="12" t="inlineStr">
        <is>
          <t>BENALET 5+50+10MG PASTILHA SB MENTA CX C/ 12UN</t>
        </is>
      </c>
      <c r="E73" s="12" t="inlineStr">
        <is>
          <t>JOHNSON &amp; JOHNSON</t>
        </is>
      </c>
      <c r="F73" s="10" t="n">
        <v>1</v>
      </c>
      <c r="G73" s="13" t="n"/>
      <c r="H73" s="14" t="n"/>
      <c r="I73" s="5" t="n"/>
      <c r="J73" s="15">
        <f>IF(G73="","",F73*G73)</f>
        <v/>
      </c>
    </row>
    <row r="74">
      <c r="A74" s="16" t="n">
        <v>60</v>
      </c>
      <c r="B74" s="16" t="n">
        <v>180661</v>
      </c>
      <c r="C74" s="17" t="inlineStr">
        <is>
          <t>7893454714325</t>
        </is>
      </c>
      <c r="D74" s="18" t="inlineStr">
        <is>
          <t>BENERVA 300MG CX 30 COMP REV</t>
        </is>
      </c>
      <c r="E74" s="18" t="inlineStr">
        <is>
          <t>CELLERA FARMA</t>
        </is>
      </c>
      <c r="F74" s="16" t="n">
        <v>2</v>
      </c>
      <c r="G74" s="13" t="n"/>
      <c r="H74" s="14" t="n"/>
      <c r="I74" s="5" t="n"/>
      <c r="J74" s="19">
        <f>IF(G74="","",F74*G74)</f>
        <v/>
      </c>
    </row>
    <row r="75">
      <c r="A75" s="16" t="n">
        <v>61</v>
      </c>
      <c r="B75" s="16" t="n">
        <v>180661</v>
      </c>
      <c r="C75" s="17" t="inlineStr">
        <is>
          <t>7891106006316</t>
        </is>
      </c>
      <c r="D75" s="18" t="inlineStr">
        <is>
          <t>BENERVA 300MG CX 30 COMP REV</t>
        </is>
      </c>
      <c r="E75" s="18" t="inlineStr">
        <is>
          <t>CELLERA FARMA</t>
        </is>
      </c>
      <c r="F75" s="16" t="n">
        <v>2</v>
      </c>
      <c r="G75" s="13" t="n"/>
      <c r="H75" s="14" t="n"/>
      <c r="I75" s="5" t="n"/>
      <c r="J75" s="19">
        <f>IF(G75="","",F75*G75)</f>
        <v/>
      </c>
    </row>
    <row r="76">
      <c r="A76" s="10" t="n">
        <v>62</v>
      </c>
      <c r="B76" s="10" t="n">
        <v>49061</v>
      </c>
      <c r="C76" s="11" t="inlineStr">
        <is>
          <t>7891317496241</t>
        </is>
      </c>
      <c r="D76" s="12" t="inlineStr">
        <is>
          <t>BENZETACIL 300.000U/ML SUS INJ 1FA X 4ML</t>
        </is>
      </c>
      <c r="E76" s="12" t="inlineStr">
        <is>
          <t>SUPERA</t>
        </is>
      </c>
      <c r="F76" s="10" t="n">
        <v>2</v>
      </c>
      <c r="G76" s="13" t="n"/>
      <c r="H76" s="14" t="n"/>
      <c r="I76" s="5" t="n"/>
      <c r="J76" s="15">
        <f>IF(G76="","",F76*G76)</f>
        <v/>
      </c>
    </row>
    <row r="77">
      <c r="A77" s="16" t="n">
        <v>63</v>
      </c>
      <c r="B77" s="16" t="n">
        <v>588821</v>
      </c>
      <c r="C77" s="17" t="inlineStr">
        <is>
          <t>7891106912167</t>
        </is>
      </c>
      <c r="D77" s="18" t="inlineStr">
        <is>
          <t>BEPANTOL BABY 30+15G</t>
        </is>
      </c>
      <c r="E77" s="18" t="inlineStr">
        <is>
          <t>BAYER</t>
        </is>
      </c>
      <c r="F77" s="16" t="n">
        <v>18</v>
      </c>
      <c r="G77" s="13" t="n"/>
      <c r="H77" s="14" t="n"/>
      <c r="I77" s="5" t="n"/>
      <c r="J77" s="19">
        <f>IF(G77="","",F77*G77)</f>
        <v/>
      </c>
    </row>
    <row r="78">
      <c r="A78" s="10" t="n">
        <v>64</v>
      </c>
      <c r="B78" s="10" t="n">
        <v>550701</v>
      </c>
      <c r="C78" s="11" t="inlineStr">
        <is>
          <t>7891106907286</t>
        </is>
      </c>
      <c r="D78" s="12" t="inlineStr">
        <is>
          <t>BEPANTOL DERMA CR 20GR</t>
        </is>
      </c>
      <c r="E78" s="12" t="inlineStr">
        <is>
          <t>BAYER</t>
        </is>
      </c>
      <c r="F78" s="10" t="n">
        <v>10</v>
      </c>
      <c r="G78" s="13" t="n"/>
      <c r="H78" s="14" t="n"/>
      <c r="I78" s="5" t="n"/>
      <c r="J78" s="15">
        <f>IF(G78="","",F78*G78)</f>
        <v/>
      </c>
    </row>
    <row r="79">
      <c r="A79" s="16" t="n">
        <v>65</v>
      </c>
      <c r="B79" s="16" t="n">
        <v>633011</v>
      </c>
      <c r="C79" s="17" t="inlineStr">
        <is>
          <t>7891106911733</t>
        </is>
      </c>
      <c r="D79" s="18" t="inlineStr">
        <is>
          <t>BEPANTOL DERMA CR 40GR</t>
        </is>
      </c>
      <c r="E79" s="18" t="inlineStr">
        <is>
          <t>BAYER</t>
        </is>
      </c>
      <c r="F79" s="16" t="n">
        <v>2</v>
      </c>
      <c r="G79" s="13" t="n"/>
      <c r="H79" s="14" t="n"/>
      <c r="I79" s="5" t="n"/>
      <c r="J79" s="19">
        <f>IF(G79="","",F79*G79)</f>
        <v/>
      </c>
    </row>
    <row r="80">
      <c r="A80" s="10" t="n">
        <v>66</v>
      </c>
      <c r="B80" s="10" t="n">
        <v>666681</v>
      </c>
      <c r="C80" s="11" t="inlineStr">
        <is>
          <t>7891106914277</t>
        </is>
      </c>
      <c r="D80" s="12" t="inlineStr">
        <is>
          <t>BEPANTOL DERMA PROT LAB F50 4,5G-DEMAIS PROD</t>
        </is>
      </c>
      <c r="E80" s="12" t="inlineStr">
        <is>
          <t>BAYER</t>
        </is>
      </c>
      <c r="F80" s="10" t="n">
        <v>3</v>
      </c>
      <c r="G80" s="13" t="n"/>
      <c r="H80" s="14" t="n"/>
      <c r="I80" s="5" t="n"/>
      <c r="J80" s="15">
        <f>IF(G80="","",F80*G80)</f>
        <v/>
      </c>
    </row>
    <row r="81">
      <c r="A81" s="16" t="n">
        <v>67</v>
      </c>
      <c r="B81" s="16" t="n">
        <v>666671</v>
      </c>
      <c r="C81" s="17" t="inlineStr">
        <is>
          <t>7891106914628</t>
        </is>
      </c>
      <c r="D81" s="18" t="inlineStr">
        <is>
          <t>BEPANTOL DERMA REGENERADOR 200ML-DEMAIS PROD</t>
        </is>
      </c>
      <c r="E81" s="18" t="inlineStr">
        <is>
          <t>BAYER</t>
        </is>
      </c>
      <c r="F81" s="16" t="n">
        <v>1</v>
      </c>
      <c r="G81" s="13" t="n"/>
      <c r="H81" s="14" t="n"/>
      <c r="I81" s="5" t="n"/>
      <c r="J81" s="19">
        <f>IF(G81="","",F81*G81)</f>
        <v/>
      </c>
    </row>
    <row r="82">
      <c r="A82" s="10" t="n">
        <v>68</v>
      </c>
      <c r="B82" s="10" t="n">
        <v>666661</v>
      </c>
      <c r="C82" s="11" t="inlineStr">
        <is>
          <t>7891106916578</t>
        </is>
      </c>
      <c r="D82" s="12" t="inlineStr">
        <is>
          <t>BEPANTOL DERMA ROSA MOSQUETA 20G-DEMAIS PROD</t>
        </is>
      </c>
      <c r="E82" s="12" t="inlineStr">
        <is>
          <t>BAYER</t>
        </is>
      </c>
      <c r="F82" s="10" t="n">
        <v>7</v>
      </c>
      <c r="G82" s="13" t="n"/>
      <c r="H82" s="14" t="n"/>
      <c r="I82" s="5" t="n"/>
      <c r="J82" s="15">
        <f>IF(G82="","",F82*G82)</f>
        <v/>
      </c>
    </row>
    <row r="83">
      <c r="A83" s="16" t="n">
        <v>69</v>
      </c>
      <c r="B83" s="16" t="n">
        <v>637641</v>
      </c>
      <c r="C83" s="17" t="inlineStr">
        <is>
          <t>7891106915878</t>
        </is>
      </c>
      <c r="D83" s="18" t="inlineStr">
        <is>
          <t>BEPANTOL DERMA SOL 50ML</t>
        </is>
      </c>
      <c r="E83" s="18" t="inlineStr">
        <is>
          <t>BAYER</t>
        </is>
      </c>
      <c r="F83" s="16" t="n">
        <v>4</v>
      </c>
      <c r="G83" s="13" t="n"/>
      <c r="H83" s="14" t="n"/>
      <c r="I83" s="5" t="n"/>
      <c r="J83" s="19">
        <f>IF(G83="","",F83*G83)</f>
        <v/>
      </c>
    </row>
    <row r="84">
      <c r="A84" s="10" t="n">
        <v>70</v>
      </c>
      <c r="B84" s="10" t="n">
        <v>666701</v>
      </c>
      <c r="C84" s="11" t="inlineStr">
        <is>
          <t>7891106916288</t>
        </is>
      </c>
      <c r="D84" s="12" t="inlineStr">
        <is>
          <t>BEPANTOL LENCOS UMED BIO 48UN-DEMAIS PROD</t>
        </is>
      </c>
      <c r="E84" s="12" t="inlineStr">
        <is>
          <t>BAYER</t>
        </is>
      </c>
      <c r="F84" s="10" t="n">
        <v>2</v>
      </c>
      <c r="G84" s="13" t="n"/>
      <c r="H84" s="14" t="n"/>
      <c r="I84" s="5" t="n"/>
      <c r="J84" s="15">
        <f>IF(G84="","",F84*G84)</f>
        <v/>
      </c>
    </row>
    <row r="85">
      <c r="A85" s="16" t="n">
        <v>71</v>
      </c>
      <c r="B85" s="16" t="n">
        <v>666691</v>
      </c>
      <c r="C85" s="17" t="inlineStr">
        <is>
          <t>7891106916516</t>
        </is>
      </c>
      <c r="D85" s="18" t="inlineStr">
        <is>
          <t>BEPANTOL TATTOO CR RESTAURA 30G-DEMAIS PROD</t>
        </is>
      </c>
      <c r="E85" s="18" t="inlineStr">
        <is>
          <t>BAYER</t>
        </is>
      </c>
      <c r="F85" s="16" t="n">
        <v>2</v>
      </c>
      <c r="G85" s="13" t="n"/>
      <c r="H85" s="14" t="n"/>
      <c r="I85" s="5" t="n"/>
      <c r="J85" s="19">
        <f>IF(G85="","",F85*G85)</f>
        <v/>
      </c>
    </row>
    <row r="86">
      <c r="A86" s="10" t="n">
        <v>72</v>
      </c>
      <c r="B86" s="10" t="n">
        <v>82401</v>
      </c>
      <c r="C86" s="11" t="inlineStr">
        <is>
          <t>7896026171182</t>
        </is>
      </c>
      <c r="D86" s="12" t="inlineStr">
        <is>
          <t>BESEROL 300+125+50+30MG CX 12 COMP</t>
        </is>
      </c>
      <c r="E86" s="12" t="inlineStr">
        <is>
          <t>MEGALABS</t>
        </is>
      </c>
      <c r="F86" s="10" t="n">
        <v>11</v>
      </c>
      <c r="G86" s="13" t="n"/>
      <c r="H86" s="14" t="n"/>
      <c r="I86" s="5" t="n"/>
      <c r="J86" s="15">
        <f>IF(G86="","",F86*G86)</f>
        <v/>
      </c>
    </row>
    <row r="87">
      <c r="A87" s="16" t="n">
        <v>73</v>
      </c>
      <c r="B87" s="16" t="n">
        <v>82381</v>
      </c>
      <c r="C87" s="17" t="inlineStr">
        <is>
          <t>7896026171199</t>
        </is>
      </c>
      <c r="D87" s="18" t="inlineStr">
        <is>
          <t>BESEROL 300+125+50+30MG CX 4 COMP</t>
        </is>
      </c>
      <c r="E87" s="18" t="inlineStr">
        <is>
          <t>MEGALABS</t>
        </is>
      </c>
      <c r="F87" s="16" t="n">
        <v>14</v>
      </c>
      <c r="G87" s="13" t="n"/>
      <c r="H87" s="14" t="n"/>
      <c r="I87" s="5" t="n"/>
      <c r="J87" s="19">
        <f>IF(G87="","",F87*G87)</f>
        <v/>
      </c>
    </row>
    <row r="88">
      <c r="A88" s="10" t="n">
        <v>74</v>
      </c>
      <c r="B88" s="10" t="n">
        <v>254101</v>
      </c>
      <c r="C88" s="11" t="inlineStr">
        <is>
          <t>7891317103323</t>
        </is>
      </c>
      <c r="D88" s="12" t="inlineStr">
        <is>
          <t>BETATRINTA 5+2MG/ML SUS INJ AMP X 1ML+SER SIST</t>
        </is>
      </c>
      <c r="E88" s="12" t="inlineStr">
        <is>
          <t>EUROFARMA</t>
        </is>
      </c>
      <c r="F88" s="10" t="n">
        <v>26</v>
      </c>
      <c r="G88" s="13" t="n"/>
      <c r="H88" s="14" t="n"/>
      <c r="I88" s="5" t="n"/>
      <c r="J88" s="15">
        <f>IF(G88="","",F88*G88)</f>
        <v/>
      </c>
    </row>
    <row r="89">
      <c r="A89" s="16" t="n">
        <v>75</v>
      </c>
      <c r="B89" s="16" t="n">
        <v>128081</v>
      </c>
      <c r="C89" s="17" t="inlineStr">
        <is>
          <t>7891317478964</t>
        </is>
      </c>
      <c r="D89" s="18" t="inlineStr">
        <is>
          <t>BETINA 24MG CX 30 COMP</t>
        </is>
      </c>
      <c r="E89" s="18" t="inlineStr">
        <is>
          <t>EUROFARMA</t>
        </is>
      </c>
      <c r="F89" s="16" t="n">
        <v>2</v>
      </c>
      <c r="G89" s="13" t="n"/>
      <c r="H89" s="14" t="n"/>
      <c r="I89" s="5" t="n"/>
      <c r="J89" s="19">
        <f>IF(G89="","",F89*G89)</f>
        <v/>
      </c>
    </row>
    <row r="90">
      <c r="A90" s="10" t="n">
        <v>76</v>
      </c>
      <c r="B90" s="10" t="n">
        <v>593551</v>
      </c>
      <c r="C90" s="11" t="inlineStr">
        <is>
          <t>7894916517461</t>
        </is>
      </c>
      <c r="D90" s="12" t="inlineStr">
        <is>
          <t>BEXAI 35MG CX 10 CAP</t>
        </is>
      </c>
      <c r="E90" s="12" t="inlineStr">
        <is>
          <t>SIGMA PHARMA</t>
        </is>
      </c>
      <c r="F90" s="10" t="n">
        <v>6</v>
      </c>
      <c r="G90" s="13" t="n"/>
      <c r="H90" s="14" t="n"/>
      <c r="I90" s="5" t="n"/>
      <c r="J90" s="15">
        <f>IF(G90="","",F90*G90)</f>
        <v/>
      </c>
    </row>
    <row r="91">
      <c r="A91" s="16" t="n">
        <v>77</v>
      </c>
      <c r="B91" s="16" t="n">
        <v>48321</v>
      </c>
      <c r="C91" s="17" t="inlineStr">
        <is>
          <t>7898100268290</t>
        </is>
      </c>
      <c r="D91" s="18" t="inlineStr">
        <is>
          <t>BIOVICERIN  END/ML SUS OR 2 FLAC X 5ML</t>
        </is>
      </c>
      <c r="E91" s="18" t="inlineStr">
        <is>
          <t>MEGALABS FARMACEUTICA</t>
        </is>
      </c>
      <c r="F91" s="16" t="n">
        <v>23</v>
      </c>
      <c r="G91" s="13" t="n"/>
      <c r="H91" s="14" t="n"/>
      <c r="I91" s="5" t="n"/>
      <c r="J91" s="19">
        <f>IF(G91="","",F91*G91)</f>
        <v/>
      </c>
    </row>
    <row r="92">
      <c r="A92" s="10" t="n">
        <v>78</v>
      </c>
      <c r="B92" s="10" t="n">
        <v>48341</v>
      </c>
      <c r="C92" s="11" t="inlineStr">
        <is>
          <t>7898100268306</t>
        </is>
      </c>
      <c r="D92" s="12" t="inlineStr">
        <is>
          <t>BIOVICERIN END/ML SUS OR FRACIONADO 1UND</t>
        </is>
      </c>
      <c r="E92" s="12" t="inlineStr">
        <is>
          <t>GEYER</t>
        </is>
      </c>
      <c r="F92" s="10" t="n">
        <v>18</v>
      </c>
      <c r="G92" s="13" t="n"/>
      <c r="H92" s="14" t="n"/>
      <c r="I92" s="5" t="n"/>
      <c r="J92" s="15">
        <f>IF(G92="","",F92*G92)</f>
        <v/>
      </c>
    </row>
    <row r="93">
      <c r="A93" s="16" t="n">
        <v>79</v>
      </c>
      <c r="B93" s="16" t="n">
        <v>509881</v>
      </c>
      <c r="C93" s="17" t="inlineStr">
        <is>
          <t>7896672203923</t>
        </is>
      </c>
      <c r="D93" s="18" t="inlineStr">
        <is>
          <t>BRONCHO-VAXOM 3,5MG GRAN CX 30 SACHETS</t>
        </is>
      </c>
      <c r="E93" s="18" t="inlineStr">
        <is>
          <t>CHIESI</t>
        </is>
      </c>
      <c r="F93" s="16" t="n">
        <v>3</v>
      </c>
      <c r="G93" s="13" t="n"/>
      <c r="H93" s="14" t="n"/>
      <c r="I93" s="5" t="n"/>
      <c r="J93" s="19">
        <f>IF(G93="","",F93*G93)</f>
        <v/>
      </c>
    </row>
    <row r="94">
      <c r="A94" s="10" t="n">
        <v>80</v>
      </c>
      <c r="B94" s="10" t="n">
        <v>2541</v>
      </c>
      <c r="C94" s="11" t="inlineStr">
        <is>
          <t>7896658002120</t>
        </is>
      </c>
      <c r="D94" s="12" t="inlineStr">
        <is>
          <t>BRONDILAT 5MG XPE FR 120ML+CM PED</t>
        </is>
      </c>
      <c r="E94" s="12" t="inlineStr">
        <is>
          <t>ACHE</t>
        </is>
      </c>
      <c r="F94" s="10" t="n">
        <v>3</v>
      </c>
      <c r="G94" s="13" t="n"/>
      <c r="H94" s="14" t="n"/>
      <c r="I94" s="5" t="n"/>
      <c r="J94" s="15">
        <f>IF(G94="","",F94*G94)</f>
        <v/>
      </c>
    </row>
    <row r="95">
      <c r="A95" s="16" t="n">
        <v>81</v>
      </c>
      <c r="B95" s="16" t="n">
        <v>603361</v>
      </c>
      <c r="C95" s="17" t="inlineStr">
        <is>
          <t>4005808956487</t>
        </is>
      </c>
      <c r="D95" s="18" t="inlineStr">
        <is>
          <t>BRONZ E PROTEC SOLAR  HIDRAT FPS30 200ML  NIVEA</t>
        </is>
      </c>
      <c r="E95" s="18" t="inlineStr">
        <is>
          <t>NIVEA</t>
        </is>
      </c>
      <c r="F95" s="16" t="n">
        <v>1</v>
      </c>
      <c r="G95" s="13" t="n"/>
      <c r="H95" s="14" t="n"/>
      <c r="I95" s="5" t="n"/>
      <c r="J95" s="19">
        <f>IF(G95="","",F95*G95)</f>
        <v/>
      </c>
    </row>
    <row r="96">
      <c r="A96" s="10" t="n">
        <v>82</v>
      </c>
      <c r="B96" s="10" t="n">
        <v>584321</v>
      </c>
      <c r="C96" s="11" t="inlineStr">
        <is>
          <t>4987188568712</t>
        </is>
      </c>
      <c r="D96" s="12" t="inlineStr">
        <is>
          <t>BYE BYE FEVER PARA BEBES C/2UN(HSM)</t>
        </is>
      </c>
      <c r="E96" s="12" t="inlineStr">
        <is>
          <t>GEOLAB</t>
        </is>
      </c>
      <c r="F96" s="10" t="n">
        <v>31</v>
      </c>
      <c r="G96" s="13" t="n"/>
      <c r="H96" s="14" t="n"/>
      <c r="I96" s="5" t="n"/>
      <c r="J96" s="15">
        <f>IF(G96="","",F96*G96)</f>
        <v/>
      </c>
    </row>
    <row r="97">
      <c r="A97" s="10" t="n">
        <v>83</v>
      </c>
      <c r="B97" s="10" t="n">
        <v>584321</v>
      </c>
      <c r="C97" s="11" t="inlineStr">
        <is>
          <t>24987188568716</t>
        </is>
      </c>
      <c r="D97" s="12" t="inlineStr">
        <is>
          <t>BYE BYE FEVER PARA BEBES C/2UN(HSM)</t>
        </is>
      </c>
      <c r="E97" s="12" t="inlineStr">
        <is>
          <t>GEOLAB</t>
        </is>
      </c>
      <c r="F97" s="10" t="n">
        <v>31</v>
      </c>
      <c r="G97" s="13" t="n"/>
      <c r="H97" s="14" t="n"/>
      <c r="I97" s="5" t="n"/>
      <c r="J97" s="15">
        <f>IF(G97="","",F97*G97)</f>
        <v/>
      </c>
    </row>
    <row r="98">
      <c r="A98" s="16" t="n">
        <v>84</v>
      </c>
      <c r="B98" s="16" t="n">
        <v>584301</v>
      </c>
      <c r="C98" s="17" t="inlineStr">
        <is>
          <t>4987188568729</t>
        </is>
      </c>
      <c r="D98" s="18" t="inlineStr">
        <is>
          <t>BYE BYE FEVER PARA CRIANCAS C/2UN(HSM)</t>
        </is>
      </c>
      <c r="E98" s="18" t="inlineStr">
        <is>
          <t>PADRAO</t>
        </is>
      </c>
      <c r="F98" s="16" t="n">
        <v>4</v>
      </c>
      <c r="G98" s="13" t="n"/>
      <c r="H98" s="14" t="n"/>
      <c r="I98" s="5" t="n"/>
      <c r="J98" s="19">
        <f>IF(G98="","",F98*G98)</f>
        <v/>
      </c>
    </row>
    <row r="99">
      <c r="A99" s="10" t="n">
        <v>85</v>
      </c>
      <c r="B99" s="10" t="n">
        <v>606351</v>
      </c>
      <c r="C99" s="11" t="inlineStr">
        <is>
          <t>7896004780078</t>
        </is>
      </c>
      <c r="D99" s="12" t="inlineStr">
        <is>
          <t>CALADRYL POS SOL CR 28G</t>
        </is>
      </c>
      <c r="E99" s="12" t="inlineStr">
        <is>
          <t>EMS</t>
        </is>
      </c>
      <c r="F99" s="10" t="n">
        <v>1</v>
      </c>
      <c r="G99" s="13" t="n"/>
      <c r="H99" s="14" t="n"/>
      <c r="I99" s="5" t="n"/>
      <c r="J99" s="15">
        <f>IF(G99="","",F99*G99)</f>
        <v/>
      </c>
    </row>
    <row r="100">
      <c r="A100" s="16" t="n">
        <v>86</v>
      </c>
      <c r="B100" s="16" t="n">
        <v>603911</v>
      </c>
      <c r="C100" s="17" t="inlineStr">
        <is>
          <t>7896004780061</t>
        </is>
      </c>
      <c r="D100" s="18" t="inlineStr">
        <is>
          <t>CALADRYL POS SOL LOC 100ML</t>
        </is>
      </c>
      <c r="E100" s="18" t="inlineStr">
        <is>
          <t>EMS</t>
        </is>
      </c>
      <c r="F100" s="16" t="n">
        <v>1</v>
      </c>
      <c r="G100" s="13" t="n"/>
      <c r="H100" s="14" t="n"/>
      <c r="I100" s="5" t="n"/>
      <c r="J100" s="19">
        <f>IF(G100="","",F100*G100)</f>
        <v/>
      </c>
    </row>
    <row r="101">
      <c r="A101" s="10" t="n">
        <v>87</v>
      </c>
      <c r="B101" s="10" t="n">
        <v>662451</v>
      </c>
      <c r="C101" s="11" t="inlineStr">
        <is>
          <t>7898040328573</t>
        </is>
      </c>
      <c r="D101" s="12" t="inlineStr">
        <is>
          <t>CALCITRAN MDK CX 30 COMP MAST</t>
        </is>
      </c>
      <c r="E101" s="12" t="inlineStr">
        <is>
          <t>FQM/DIVCOM</t>
        </is>
      </c>
      <c r="F101" s="10" t="n">
        <v>1</v>
      </c>
      <c r="G101" s="13" t="n"/>
      <c r="H101" s="14" t="n"/>
      <c r="I101" s="5" t="n"/>
      <c r="J101" s="15">
        <f>IF(G101="","",F101*G101)</f>
        <v/>
      </c>
    </row>
    <row r="102">
      <c r="A102" s="16" t="n">
        <v>88</v>
      </c>
      <c r="B102" s="16" t="n">
        <v>622851</v>
      </c>
      <c r="C102" s="17" t="inlineStr">
        <is>
          <t>7895858017149</t>
        </is>
      </c>
      <c r="D102" s="18" t="inlineStr">
        <is>
          <t>CALMAN 100ML</t>
        </is>
      </c>
      <c r="E102" s="18" t="inlineStr">
        <is>
          <t>APSEN</t>
        </is>
      </c>
      <c r="F102" s="16" t="n">
        <v>2</v>
      </c>
      <c r="G102" s="13" t="n"/>
      <c r="H102" s="14" t="n"/>
      <c r="I102" s="5" t="n"/>
      <c r="J102" s="19">
        <f>IF(G102="","",F102*G102)</f>
        <v/>
      </c>
    </row>
    <row r="103">
      <c r="A103" s="10" t="n">
        <v>89</v>
      </c>
      <c r="B103" s="10" t="n">
        <v>550741</v>
      </c>
      <c r="C103" s="11" t="inlineStr">
        <is>
          <t>7895858017156</t>
        </is>
      </c>
      <c r="D103" s="12" t="inlineStr">
        <is>
          <t>CALMAN 20CPR</t>
        </is>
      </c>
      <c r="E103" s="12" t="inlineStr">
        <is>
          <t>ASPEN</t>
        </is>
      </c>
      <c r="F103" s="10" t="n">
        <v>2</v>
      </c>
      <c r="G103" s="13" t="n"/>
      <c r="H103" s="14" t="n"/>
      <c r="I103" s="5" t="n"/>
      <c r="J103" s="15">
        <f>IF(G103="","",F103*G103)</f>
        <v/>
      </c>
    </row>
    <row r="104">
      <c r="A104" s="16" t="n">
        <v>90</v>
      </c>
      <c r="B104" s="16" t="n">
        <v>210221</v>
      </c>
      <c r="C104" s="17" t="inlineStr">
        <is>
          <t>7896261013490</t>
        </is>
      </c>
      <c r="D104" s="18" t="inlineStr">
        <is>
          <t>CATAFLAM 50MG CX 10 DRG</t>
        </is>
      </c>
      <c r="E104" s="18" t="inlineStr">
        <is>
          <t>NOVARTIS</t>
        </is>
      </c>
      <c r="F104" s="16" t="n">
        <v>4</v>
      </c>
      <c r="G104" s="13" t="n"/>
      <c r="H104" s="14" t="n"/>
      <c r="I104" s="5" t="n"/>
      <c r="J104" s="19">
        <f>IF(G104="","",F104*G104)</f>
        <v/>
      </c>
    </row>
    <row r="105">
      <c r="A105" s="10" t="n">
        <v>91</v>
      </c>
      <c r="B105" s="10" t="n">
        <v>233941</v>
      </c>
      <c r="C105" s="11" t="inlineStr">
        <is>
          <t>7896658001079</t>
        </is>
      </c>
      <c r="D105" s="12" t="inlineStr">
        <is>
          <t>CEFALIV CX 12 COMP</t>
        </is>
      </c>
      <c r="E105" s="12" t="inlineStr">
        <is>
          <t>ACHE</t>
        </is>
      </c>
      <c r="F105" s="10" t="n">
        <v>5</v>
      </c>
      <c r="G105" s="13" t="n"/>
      <c r="H105" s="14" t="n"/>
      <c r="I105" s="5" t="n"/>
      <c r="J105" s="15">
        <f>IF(G105="","",F105*G105)</f>
        <v/>
      </c>
    </row>
    <row r="106">
      <c r="A106" s="16" t="n">
        <v>92</v>
      </c>
      <c r="B106" s="16" t="n">
        <v>90901</v>
      </c>
      <c r="C106" s="17" t="inlineStr">
        <is>
          <t>7908236800698</t>
        </is>
      </c>
      <c r="D106" s="18" t="inlineStr">
        <is>
          <t>CELEBRA 100MG CX 20 CAP</t>
        </is>
      </c>
      <c r="E106" s="18" t="inlineStr">
        <is>
          <t>MYLAN</t>
        </is>
      </c>
      <c r="F106" s="16" t="n">
        <v>1</v>
      </c>
      <c r="G106" s="13" t="n"/>
      <c r="H106" s="14" t="n"/>
      <c r="I106" s="5" t="n"/>
      <c r="J106" s="19">
        <f>IF(G106="","",F106*G106)</f>
        <v/>
      </c>
    </row>
    <row r="107">
      <c r="A107" s="10" t="n">
        <v>93</v>
      </c>
      <c r="B107" s="10" t="n">
        <v>615251</v>
      </c>
      <c r="C107" s="11" t="inlineStr">
        <is>
          <t>4005900813053</t>
        </is>
      </c>
      <c r="D107" s="12" t="inlineStr">
        <is>
          <t>CELLULAR NIVEA LUMINOUS 630 SERUM 30ML</t>
        </is>
      </c>
      <c r="E107" s="12" t="inlineStr">
        <is>
          <t>NIVEA</t>
        </is>
      </c>
      <c r="F107" s="10" t="n">
        <v>1</v>
      </c>
      <c r="G107" s="13" t="n"/>
      <c r="H107" s="14" t="n"/>
      <c r="I107" s="5" t="n"/>
      <c r="J107" s="15">
        <f>IF(G107="","",F107*G107)</f>
        <v/>
      </c>
    </row>
    <row r="108">
      <c r="A108" s="16" t="n">
        <v>94</v>
      </c>
      <c r="B108" s="16" t="n">
        <v>556161</v>
      </c>
      <c r="C108" s="17" t="inlineStr">
        <is>
          <t>7899706182980</t>
        </is>
      </c>
      <c r="D108" s="18" t="inlineStr">
        <is>
          <t>CERAVE CR HIDRAT 50ML</t>
        </is>
      </c>
      <c r="E108" s="18" t="inlineStr">
        <is>
          <t>CEFISA</t>
        </is>
      </c>
      <c r="F108" s="16" t="n">
        <v>1</v>
      </c>
      <c r="G108" s="13" t="n"/>
      <c r="H108" s="14" t="n"/>
      <c r="I108" s="5" t="n"/>
      <c r="J108" s="19">
        <f>IF(G108="","",F108*G108)</f>
        <v/>
      </c>
    </row>
    <row r="109">
      <c r="A109" s="10" t="n">
        <v>95</v>
      </c>
      <c r="B109" s="10" t="n">
        <v>624311</v>
      </c>
      <c r="C109" s="11" t="inlineStr">
        <is>
          <t>7899706190480</t>
        </is>
      </c>
      <c r="D109" s="12" t="inlineStr">
        <is>
          <t>CERAVE CR RENOVOVADOR P/PES 88G</t>
        </is>
      </c>
      <c r="E109" s="12" t="inlineStr">
        <is>
          <t>LOREAL</t>
        </is>
      </c>
      <c r="F109" s="10" t="n">
        <v>1</v>
      </c>
      <c r="G109" s="13" t="n"/>
      <c r="H109" s="14" t="n"/>
      <c r="I109" s="5" t="n"/>
      <c r="J109" s="15">
        <f>IF(G109="","",F109*G109)</f>
        <v/>
      </c>
    </row>
    <row r="110">
      <c r="A110" s="16" t="n">
        <v>96</v>
      </c>
      <c r="B110" s="16" t="n">
        <v>539441</v>
      </c>
      <c r="C110" s="17" t="inlineStr">
        <is>
          <t>7899706159173</t>
        </is>
      </c>
      <c r="D110" s="18" t="inlineStr">
        <is>
          <t>CERAVE CREME HIDRATANTE 200G (CRV)</t>
        </is>
      </c>
      <c r="E110" s="18" t="inlineStr">
        <is>
          <t>LOREAL</t>
        </is>
      </c>
      <c r="F110" s="16" t="n">
        <v>3</v>
      </c>
      <c r="G110" s="13" t="n"/>
      <c r="H110" s="14" t="n"/>
      <c r="I110" s="5" t="n"/>
      <c r="J110" s="19">
        <f>IF(G110="","",F110*G110)</f>
        <v/>
      </c>
    </row>
    <row r="111">
      <c r="A111" s="10" t="n">
        <v>97</v>
      </c>
      <c r="B111" s="10" t="n">
        <v>669751</v>
      </c>
      <c r="C111" s="11" t="inlineStr">
        <is>
          <t>7899706159197</t>
        </is>
      </c>
      <c r="D111" s="12" t="inlineStr">
        <is>
          <t>CERAVE CREME HIDRATANTE 454G-DEMAIS PROD</t>
        </is>
      </c>
      <c r="E111" s="12" t="inlineStr">
        <is>
          <t>LOREAL</t>
        </is>
      </c>
      <c r="F111" s="10" t="n">
        <v>2</v>
      </c>
      <c r="G111" s="13" t="n"/>
      <c r="H111" s="14" t="n"/>
      <c r="I111" s="5" t="n"/>
      <c r="J111" s="15">
        <f>IF(G111="","",F111*G111)</f>
        <v/>
      </c>
    </row>
    <row r="112">
      <c r="A112" s="16" t="n">
        <v>98</v>
      </c>
      <c r="B112" s="16" t="n">
        <v>631111</v>
      </c>
      <c r="C112" s="17" t="inlineStr">
        <is>
          <t>7899706172707</t>
        </is>
      </c>
      <c r="D112" s="18" t="inlineStr">
        <is>
          <t>CERAVE GEL LIMPEZA 60G</t>
        </is>
      </c>
      <c r="E112" s="18" t="inlineStr">
        <is>
          <t>LOREAL</t>
        </is>
      </c>
      <c r="F112" s="16" t="n">
        <v>1</v>
      </c>
      <c r="G112" s="13" t="n"/>
      <c r="H112" s="14" t="n"/>
      <c r="I112" s="5" t="n"/>
      <c r="J112" s="19">
        <f>IF(G112="","",F112*G112)</f>
        <v/>
      </c>
    </row>
    <row r="113">
      <c r="A113" s="10" t="n">
        <v>99</v>
      </c>
      <c r="B113" s="10" t="n">
        <v>552981</v>
      </c>
      <c r="C113" s="11" t="inlineStr">
        <is>
          <t>7899706159258</t>
        </is>
      </c>
      <c r="D113" s="12" t="inlineStr">
        <is>
          <t>CERAVE HIDRAT 200ML</t>
        </is>
      </c>
      <c r="E113" s="12" t="inlineStr">
        <is>
          <t>LOREAL</t>
        </is>
      </c>
      <c r="F113" s="10" t="n">
        <v>1</v>
      </c>
      <c r="G113" s="13" t="n"/>
      <c r="H113" s="14" t="n"/>
      <c r="I113" s="5" t="n"/>
      <c r="J113" s="15">
        <f>IF(G113="","",F113*G113)</f>
        <v/>
      </c>
    </row>
    <row r="114">
      <c r="A114" s="16" t="n">
        <v>100</v>
      </c>
      <c r="B114" s="16" t="n">
        <v>609661</v>
      </c>
      <c r="C114" s="17" t="inlineStr">
        <is>
          <t>7908615015484</t>
        </is>
      </c>
      <c r="D114" s="18" t="inlineStr">
        <is>
          <t>CERAVE LOC HIDRAT 50ML</t>
        </is>
      </c>
      <c r="E114" s="18" t="inlineStr">
        <is>
          <t>LOREAL</t>
        </is>
      </c>
      <c r="F114" s="16" t="n">
        <v>2</v>
      </c>
      <c r="G114" s="13" t="n"/>
      <c r="H114" s="14" t="n"/>
      <c r="I114" s="5" t="n"/>
      <c r="J114" s="19">
        <f>IF(G114="","",F114*G114)</f>
        <v/>
      </c>
    </row>
    <row r="115">
      <c r="A115" s="10" t="n">
        <v>101</v>
      </c>
      <c r="B115" s="10" t="n">
        <v>624301</v>
      </c>
      <c r="C115" s="11" t="inlineStr">
        <is>
          <t>7899706186698</t>
        </is>
      </c>
      <c r="D115" s="12" t="inlineStr">
        <is>
          <t>CERAVE LOC HIDRAT FACIAL 52ML</t>
        </is>
      </c>
      <c r="E115" s="12" t="inlineStr">
        <is>
          <t>LOREAL</t>
        </is>
      </c>
      <c r="F115" s="10" t="n">
        <v>2</v>
      </c>
      <c r="G115" s="13" t="n"/>
      <c r="H115" s="14" t="n"/>
      <c r="I115" s="5" t="n"/>
      <c r="J115" s="15">
        <f>IF(G115="","",F115*G115)</f>
        <v/>
      </c>
    </row>
    <row r="116">
      <c r="A116" s="16" t="n">
        <v>102</v>
      </c>
      <c r="B116" s="16" t="n">
        <v>653331</v>
      </c>
      <c r="C116" s="17" t="inlineStr">
        <is>
          <t>7908615086309</t>
        </is>
      </c>
      <c r="D116" s="18" t="inlineStr">
        <is>
          <t>CERAVE LOCAO HIDRATANTE 340ML-DEMAIS PROD</t>
        </is>
      </c>
      <c r="E116" s="18" t="inlineStr">
        <is>
          <t>LA ROCHE</t>
        </is>
      </c>
      <c r="F116" s="16" t="n">
        <v>3</v>
      </c>
      <c r="G116" s="13" t="n"/>
      <c r="H116" s="14" t="n"/>
      <c r="I116" s="5" t="n"/>
      <c r="J116" s="19">
        <f>IF(G116="","",F116*G116)</f>
        <v/>
      </c>
    </row>
    <row r="117">
      <c r="A117" s="10" t="n">
        <v>103</v>
      </c>
      <c r="B117" s="10" t="n">
        <v>637261</v>
      </c>
      <c r="C117" s="11" t="inlineStr">
        <is>
          <t>7899706159272</t>
        </is>
      </c>
      <c r="D117" s="12" t="inlineStr">
        <is>
          <t>CERAVE LOCAO HIDRATANTE 473ML-DEMAIS PROD</t>
        </is>
      </c>
      <c r="E117" s="12" t="inlineStr"/>
      <c r="F117" s="10" t="n">
        <v>2</v>
      </c>
      <c r="G117" s="13" t="n"/>
      <c r="H117" s="14" t="n"/>
      <c r="I117" s="5" t="n"/>
      <c r="J117" s="15">
        <f>IF(G117="","",F117*G117)</f>
        <v/>
      </c>
    </row>
    <row r="118">
      <c r="A118" s="16" t="n">
        <v>104</v>
      </c>
      <c r="B118" s="16" t="n">
        <v>624291</v>
      </c>
      <c r="C118" s="17" t="inlineStr">
        <is>
          <t>7899706211178</t>
        </is>
      </c>
      <c r="D118" s="18" t="inlineStr">
        <is>
          <t>CERAVE SA GEL DE LIMPEZA RENOVA 150G</t>
        </is>
      </c>
      <c r="E118" s="18" t="inlineStr">
        <is>
          <t>LOREAL</t>
        </is>
      </c>
      <c r="F118" s="16" t="n">
        <v>1</v>
      </c>
      <c r="G118" s="13" t="n"/>
      <c r="H118" s="14" t="n"/>
      <c r="I118" s="5" t="n"/>
      <c r="J118" s="19">
        <f>IF(G118="","",F118*G118)</f>
        <v/>
      </c>
    </row>
    <row r="119">
      <c r="A119" s="10" t="n">
        <v>105</v>
      </c>
      <c r="B119" s="10" t="n">
        <v>654251</v>
      </c>
      <c r="C119" s="11" t="inlineStr">
        <is>
          <t>7897337716215</t>
        </is>
      </c>
      <c r="D119" s="12" t="inlineStr">
        <is>
          <t>CERAZETTE 75MCG 28CPR</t>
        </is>
      </c>
      <c r="E119" s="12" t="inlineStr">
        <is>
          <t>ORGANON</t>
        </is>
      </c>
      <c r="F119" s="10" t="n">
        <v>1</v>
      </c>
      <c r="G119" s="13" t="n"/>
      <c r="H119" s="14" t="n"/>
      <c r="I119" s="5" t="n"/>
      <c r="J119" s="15">
        <f>IF(G119="","",F119*G119)</f>
        <v/>
      </c>
    </row>
    <row r="120">
      <c r="A120" s="16" t="n">
        <v>106</v>
      </c>
      <c r="B120" s="16" t="n">
        <v>293601</v>
      </c>
      <c r="C120" s="17" t="inlineStr">
        <is>
          <t>7896548140284</t>
        </is>
      </c>
      <c r="D120" s="18" t="inlineStr">
        <is>
          <t>CERUMIN 0,4+140MG SOL OTO FR GTS 8ML</t>
        </is>
      </c>
      <c r="E120" s="18" t="inlineStr">
        <is>
          <t>NOVARTIS</t>
        </is>
      </c>
      <c r="F120" s="16" t="n">
        <v>11</v>
      </c>
      <c r="G120" s="13" t="n"/>
      <c r="H120" s="14" t="n"/>
      <c r="I120" s="5" t="n"/>
      <c r="J120" s="19">
        <f>IF(G120="","",F120*G120)</f>
        <v/>
      </c>
    </row>
    <row r="121">
      <c r="A121" s="10" t="n">
        <v>107</v>
      </c>
      <c r="B121" s="10" t="n">
        <v>619891</v>
      </c>
      <c r="C121" s="11" t="inlineStr">
        <is>
          <t>7897930777781</t>
        </is>
      </c>
      <c r="D121" s="12" t="inlineStr">
        <is>
          <t>CETAPHIL CR HIDRAT 250G-DEMAIS PROD</t>
        </is>
      </c>
      <c r="E121" s="12" t="inlineStr">
        <is>
          <t>DERMATTIVE</t>
        </is>
      </c>
      <c r="F121" s="10" t="n">
        <v>2</v>
      </c>
      <c r="G121" s="13" t="n"/>
      <c r="H121" s="14" t="n"/>
      <c r="I121" s="5" t="n"/>
      <c r="J121" s="15">
        <f>IF(G121="","",F121*G121)</f>
        <v/>
      </c>
    </row>
    <row r="122">
      <c r="A122" s="10" t="n">
        <v>108</v>
      </c>
      <c r="B122" s="10" t="n">
        <v>619891</v>
      </c>
      <c r="C122" s="11" t="inlineStr">
        <is>
          <t>7897930777873</t>
        </is>
      </c>
      <c r="D122" s="12" t="inlineStr">
        <is>
          <t>CETAPHIL CR HIDRAT 250G-DEMAIS PROD</t>
        </is>
      </c>
      <c r="E122" s="12" t="inlineStr">
        <is>
          <t>DERMATTIVE</t>
        </is>
      </c>
      <c r="F122" s="10" t="n">
        <v>2</v>
      </c>
      <c r="G122" s="13" t="n"/>
      <c r="H122" s="14" t="n"/>
      <c r="I122" s="5" t="n"/>
      <c r="J122" s="15">
        <f>IF(G122="","",F122*G122)</f>
        <v/>
      </c>
    </row>
    <row r="123">
      <c r="A123" s="16" t="n">
        <v>109</v>
      </c>
      <c r="B123" s="16" t="n">
        <v>363</v>
      </c>
      <c r="C123" s="17" t="inlineStr">
        <is>
          <t>7897930777798</t>
        </is>
      </c>
      <c r="D123" s="18" t="inlineStr">
        <is>
          <t>CETAPHIL CR HIDRAT 453GR-DEMAIS PROD</t>
        </is>
      </c>
      <c r="E123" s="18" t="inlineStr">
        <is>
          <t>GALDERMA</t>
        </is>
      </c>
      <c r="F123" s="16" t="n">
        <v>1</v>
      </c>
      <c r="G123" s="13" t="n"/>
      <c r="H123" s="14" t="n"/>
      <c r="I123" s="5" t="n"/>
      <c r="J123" s="19">
        <f>IF(G123="","",F123*G123)</f>
        <v/>
      </c>
    </row>
    <row r="124">
      <c r="A124" s="10" t="n">
        <v>110</v>
      </c>
      <c r="B124" s="10" t="n">
        <v>383</v>
      </c>
      <c r="C124" s="11" t="inlineStr">
        <is>
          <t>7897930777743</t>
        </is>
      </c>
      <c r="D124" s="12" t="inlineStr">
        <is>
          <t>CETAPHIL LOC HIDRATANTE 473ML</t>
        </is>
      </c>
      <c r="E124" s="12" t="inlineStr">
        <is>
          <t>GALDERMA</t>
        </is>
      </c>
      <c r="F124" s="10" t="n">
        <v>2</v>
      </c>
      <c r="G124" s="13" t="n"/>
      <c r="H124" s="14" t="n"/>
      <c r="I124" s="5" t="n"/>
      <c r="J124" s="15">
        <f>IF(G124="","",F124*G124)</f>
        <v/>
      </c>
    </row>
    <row r="125">
      <c r="A125" s="16" t="n">
        <v>111</v>
      </c>
      <c r="B125" s="16" t="n">
        <v>963</v>
      </c>
      <c r="C125" s="17" t="inlineStr">
        <is>
          <t>7908615000169</t>
        </is>
      </c>
      <c r="D125" s="18" t="inlineStr">
        <is>
          <t>CICAPLAST B5 PLUS 20ML-DEMAIS PROD</t>
        </is>
      </c>
      <c r="E125" s="18" t="inlineStr">
        <is>
          <t>LA ROCHE</t>
        </is>
      </c>
      <c r="F125" s="16" t="n">
        <v>3</v>
      </c>
      <c r="G125" s="13" t="n"/>
      <c r="H125" s="14" t="n"/>
      <c r="I125" s="5" t="n"/>
      <c r="J125" s="19">
        <f>IF(G125="","",F125*G125)</f>
        <v/>
      </c>
    </row>
    <row r="126">
      <c r="A126" s="10" t="n">
        <v>112</v>
      </c>
      <c r="B126" s="10" t="n">
        <v>632071</v>
      </c>
      <c r="C126" s="11" t="inlineStr">
        <is>
          <t>7908615000244</t>
        </is>
      </c>
      <c r="D126" s="12" t="inlineStr">
        <is>
          <t>CICAPLAST LRP B5 PLUS 40ML</t>
        </is>
      </c>
      <c r="E126" s="12" t="inlineStr">
        <is>
          <t>LOREAL</t>
        </is>
      </c>
      <c r="F126" s="10" t="n">
        <v>1</v>
      </c>
      <c r="G126" s="13" t="n"/>
      <c r="H126" s="14" t="n"/>
      <c r="I126" s="5" t="n"/>
      <c r="J126" s="15">
        <f>IF(G126="","",F126*G126)</f>
        <v/>
      </c>
    </row>
    <row r="127">
      <c r="A127" s="16" t="n">
        <v>113</v>
      </c>
      <c r="B127" s="16" t="n">
        <v>628631</v>
      </c>
      <c r="C127" s="17" t="inlineStr">
        <is>
          <t>7898636191802</t>
        </is>
      </c>
      <c r="D127" s="18" t="inlineStr">
        <is>
          <t>CICATRICURE AGUA MICELAR 380ML</t>
        </is>
      </c>
      <c r="E127" s="18" t="inlineStr"/>
      <c r="F127" s="16" t="n">
        <v>1</v>
      </c>
      <c r="G127" s="13" t="n"/>
      <c r="H127" s="14" t="n"/>
      <c r="I127" s="5" t="n"/>
      <c r="J127" s="19">
        <f>IF(G127="","",F127*G127)</f>
        <v/>
      </c>
    </row>
    <row r="128">
      <c r="A128" s="10" t="n">
        <v>114</v>
      </c>
      <c r="B128" s="10" t="n">
        <v>594261</v>
      </c>
      <c r="C128" s="11" t="inlineStr">
        <is>
          <t>7898949409625</t>
        </is>
      </c>
      <c r="D128" s="12" t="inlineStr">
        <is>
          <t>CICATRICURE GEL CICATRIZ/ESTRIAS 30G</t>
        </is>
      </c>
      <c r="E128" s="12" t="inlineStr">
        <is>
          <t>GENOMA</t>
        </is>
      </c>
      <c r="F128" s="10" t="n">
        <v>4</v>
      </c>
      <c r="G128" s="13" t="n"/>
      <c r="H128" s="14" t="n"/>
      <c r="I128" s="5" t="n"/>
      <c r="J128" s="15">
        <f>IF(G128="","",F128*G128)</f>
        <v/>
      </c>
    </row>
    <row r="129">
      <c r="A129" s="16" t="n">
        <v>115</v>
      </c>
      <c r="B129" s="16" t="n">
        <v>632771</v>
      </c>
      <c r="C129" s="17" t="inlineStr">
        <is>
          <t>7500435230957</t>
        </is>
      </c>
      <c r="D129" s="18" t="inlineStr">
        <is>
          <t>CITONEURIN 5000 TAB 30 BRA</t>
        </is>
      </c>
      <c r="E129" s="18" t="inlineStr">
        <is>
          <t>P&amp;G</t>
        </is>
      </c>
      <c r="F129" s="16" t="n">
        <v>8</v>
      </c>
      <c r="G129" s="13" t="n"/>
      <c r="H129" s="14" t="n"/>
      <c r="I129" s="5" t="n"/>
      <c r="J129" s="19">
        <f>IF(G129="","",F129*G129)</f>
        <v/>
      </c>
    </row>
    <row r="130">
      <c r="A130" s="10" t="n">
        <v>116</v>
      </c>
      <c r="B130" s="10" t="n">
        <v>161441</v>
      </c>
      <c r="C130" s="11" t="inlineStr">
        <is>
          <t>7896548113479</t>
        </is>
      </c>
      <c r="D130" s="12" t="inlineStr">
        <is>
          <t>CLARIL 0,25+3MG SOL FR OFT GTS 15ML</t>
        </is>
      </c>
      <c r="E130" s="12" t="inlineStr">
        <is>
          <t>ALCON</t>
        </is>
      </c>
      <c r="F130" s="10" t="n">
        <v>17</v>
      </c>
      <c r="G130" s="13" t="n"/>
      <c r="H130" s="14" t="n"/>
      <c r="I130" s="5" t="n"/>
      <c r="J130" s="15">
        <f>IF(G130="","",F130*G130)</f>
        <v/>
      </c>
    </row>
    <row r="131">
      <c r="A131" s="16" t="n">
        <v>117</v>
      </c>
      <c r="B131" s="16" t="n">
        <v>225881</v>
      </c>
      <c r="C131" s="17" t="inlineStr">
        <is>
          <t>7896672202681</t>
        </is>
      </c>
      <c r="D131" s="18" t="inlineStr">
        <is>
          <t>CLENIL 0,4MG/ML SUS NAS 2 STR X 5 FLAC X 2ML</t>
        </is>
      </c>
      <c r="E131" s="18" t="inlineStr">
        <is>
          <t>CHIESI</t>
        </is>
      </c>
      <c r="F131" s="16" t="n">
        <v>5</v>
      </c>
      <c r="G131" s="13" t="n"/>
      <c r="H131" s="14" t="n"/>
      <c r="I131" s="5" t="n"/>
      <c r="J131" s="19">
        <f>IF(G131="","",F131*G131)</f>
        <v/>
      </c>
    </row>
    <row r="132">
      <c r="A132" s="10" t="n">
        <v>118</v>
      </c>
      <c r="B132" s="10" t="n">
        <v>225401</v>
      </c>
      <c r="C132" s="11" t="inlineStr">
        <is>
          <t>7896672202902</t>
        </is>
      </c>
      <c r="D132" s="12" t="inlineStr">
        <is>
          <t>CLENIL HFA HFA 250MCG SPRAY 200 DOS</t>
        </is>
      </c>
      <c r="E132" s="12" t="inlineStr">
        <is>
          <t>CHIESI</t>
        </is>
      </c>
      <c r="F132" s="10" t="n">
        <v>3</v>
      </c>
      <c r="G132" s="13" t="n"/>
      <c r="H132" s="14" t="n"/>
      <c r="I132" s="5" t="n"/>
      <c r="J132" s="15">
        <f>IF(G132="","",F132*G132)</f>
        <v/>
      </c>
    </row>
    <row r="133">
      <c r="A133" s="16" t="n">
        <v>119</v>
      </c>
      <c r="B133" s="16" t="n">
        <v>225761</v>
      </c>
      <c r="C133" s="17" t="inlineStr">
        <is>
          <t>7896672202810</t>
        </is>
      </c>
      <c r="D133" s="18" t="inlineStr">
        <is>
          <t>CLENIL HFA HFA 50MCG SPRAY 200 DOS</t>
        </is>
      </c>
      <c r="E133" s="18" t="inlineStr">
        <is>
          <t>CHIESI</t>
        </is>
      </c>
      <c r="F133" s="16" t="n">
        <v>1</v>
      </c>
      <c r="G133" s="13" t="n"/>
      <c r="H133" s="14" t="n"/>
      <c r="I133" s="5" t="n"/>
      <c r="J133" s="19">
        <f>IF(G133="","",F133*G133)</f>
        <v/>
      </c>
    </row>
    <row r="134">
      <c r="A134" s="10" t="n">
        <v>120</v>
      </c>
      <c r="B134" s="10" t="n">
        <v>652301</v>
      </c>
      <c r="C134" s="11" t="inlineStr">
        <is>
          <t>7896026172295</t>
        </is>
      </c>
      <c r="D134" s="12" t="inlineStr">
        <is>
          <t>CLINDOXYL CONTROL 5% 45MG-OUTROS</t>
        </is>
      </c>
      <c r="E134" s="12" t="inlineStr"/>
      <c r="F134" s="10" t="n">
        <v>2</v>
      </c>
      <c r="G134" s="13" t="n"/>
      <c r="H134" s="14" t="n"/>
      <c r="I134" s="5" t="n"/>
      <c r="J134" s="15">
        <f>IF(G134="","",F134*G134)</f>
        <v/>
      </c>
    </row>
    <row r="135">
      <c r="A135" s="16" t="n">
        <v>121</v>
      </c>
      <c r="B135" s="16" t="n">
        <v>135661</v>
      </c>
      <c r="C135" s="17" t="inlineStr">
        <is>
          <t>7891158106965</t>
        </is>
      </c>
      <c r="D135" s="18" t="inlineStr">
        <is>
          <t>COBAVITAL 1+4MG 16 COMP</t>
        </is>
      </c>
      <c r="E135" s="18" t="inlineStr">
        <is>
          <t>ABBOTT</t>
        </is>
      </c>
      <c r="F135" s="16" t="n">
        <v>7</v>
      </c>
      <c r="G135" s="13" t="n"/>
      <c r="H135" s="14" t="n"/>
      <c r="I135" s="5" t="n"/>
      <c r="J135" s="19">
        <f>IF(G135="","",F135*G135)</f>
        <v/>
      </c>
    </row>
    <row r="136">
      <c r="A136" s="10" t="n">
        <v>122</v>
      </c>
      <c r="B136" s="10" t="n">
        <v>661331</v>
      </c>
      <c r="C136" s="11" t="inlineStr">
        <is>
          <t>7891158106897</t>
        </is>
      </c>
      <c r="D136" s="12" t="inlineStr">
        <is>
          <t>COBAVITAL 30CPR</t>
        </is>
      </c>
      <c r="E136" s="12" t="inlineStr">
        <is>
          <t>ABBOTT LABORATORIOS DO BRASIL</t>
        </is>
      </c>
      <c r="F136" s="10" t="n">
        <v>8</v>
      </c>
      <c r="G136" s="13" t="n"/>
      <c r="H136" s="14" t="n"/>
      <c r="I136" s="5" t="n"/>
      <c r="J136" s="15">
        <f>IF(G136="","",F136*G136)</f>
        <v/>
      </c>
    </row>
    <row r="137">
      <c r="A137" s="10" t="n">
        <v>123</v>
      </c>
      <c r="B137" s="10" t="n">
        <v>661331</v>
      </c>
      <c r="C137" s="11" t="inlineStr">
        <is>
          <t>7891158102950</t>
        </is>
      </c>
      <c r="D137" s="12" t="inlineStr">
        <is>
          <t>COBAVITAL 30CPR</t>
        </is>
      </c>
      <c r="E137" s="12" t="inlineStr">
        <is>
          <t>ABBOTT LABORATORIOS DO BRASIL</t>
        </is>
      </c>
      <c r="F137" s="10" t="n">
        <v>8</v>
      </c>
      <c r="G137" s="13" t="n"/>
      <c r="H137" s="14" t="n"/>
      <c r="I137" s="5" t="n"/>
      <c r="J137" s="15">
        <f>IF(G137="","",F137*G137)</f>
        <v/>
      </c>
    </row>
    <row r="138">
      <c r="A138" s="16" t="n">
        <v>124</v>
      </c>
      <c r="B138" s="16" t="n">
        <v>674291</v>
      </c>
      <c r="C138" s="17" t="inlineStr">
        <is>
          <t>7896637035736</t>
        </is>
      </c>
      <c r="D138" s="18" t="inlineStr">
        <is>
          <t>COBI-12 1000MCG C/30 COMP SUBL-OUTROS</t>
        </is>
      </c>
      <c r="E138" s="18" t="inlineStr">
        <is>
          <t>EUROFA-GEN</t>
        </is>
      </c>
      <c r="F138" s="16" t="n">
        <v>6</v>
      </c>
      <c r="G138" s="13" t="n"/>
      <c r="H138" s="14" t="n"/>
      <c r="I138" s="5" t="n"/>
      <c r="J138" s="19">
        <f>IF(G138="","",F138*G138)</f>
        <v/>
      </c>
    </row>
    <row r="139">
      <c r="A139" s="10" t="n">
        <v>125</v>
      </c>
      <c r="B139" s="10" t="n">
        <v>399321</v>
      </c>
      <c r="C139" s="11" t="inlineStr">
        <is>
          <t>7899420506918</t>
        </is>
      </c>
      <c r="D139" s="12" t="inlineStr">
        <is>
          <t>COD PAR 500+30MG CX 12 COMP</t>
        </is>
      </c>
      <c r="E139" s="12" t="inlineStr">
        <is>
          <t>SUPERA</t>
        </is>
      </c>
      <c r="F139" s="10" t="n">
        <v>1</v>
      </c>
      <c r="G139" s="13" t="n"/>
      <c r="H139" s="14" t="n"/>
      <c r="I139" s="5" t="n"/>
      <c r="J139" s="15">
        <f>IF(G139="","",F139*G139)</f>
        <v/>
      </c>
    </row>
    <row r="140">
      <c r="A140" s="16" t="n">
        <v>126</v>
      </c>
      <c r="B140" s="16" t="n">
        <v>674281</v>
      </c>
      <c r="C140" s="17" t="inlineStr">
        <is>
          <t>7896676442670</t>
        </is>
      </c>
      <c r="D140" s="18" t="inlineStr">
        <is>
          <t>CODEIN 30MG C/12 CP (A2) CRI-REFERENCIA</t>
        </is>
      </c>
      <c r="E140" s="18" t="inlineStr">
        <is>
          <t>APSEN</t>
        </is>
      </c>
      <c r="F140" s="16" t="n">
        <v>1</v>
      </c>
      <c r="G140" s="13" t="n"/>
      <c r="H140" s="14" t="n"/>
      <c r="I140" s="5" t="n"/>
      <c r="J140" s="19">
        <f>IF(G140="","",F140*G140)</f>
        <v/>
      </c>
    </row>
    <row r="141">
      <c r="A141" s="10" t="n">
        <v>127</v>
      </c>
      <c r="B141" s="10" t="n">
        <v>515861</v>
      </c>
      <c r="C141" s="11" t="inlineStr">
        <is>
          <t>7896676438062</t>
        </is>
      </c>
      <c r="D141" s="12" t="inlineStr">
        <is>
          <t>CODEIN 30MG CX 12 COMP</t>
        </is>
      </c>
      <c r="E141" s="12" t="inlineStr">
        <is>
          <t>CRISTALIA</t>
        </is>
      </c>
      <c r="F141" s="10" t="n">
        <v>1</v>
      </c>
      <c r="G141" s="13" t="n"/>
      <c r="H141" s="14" t="n"/>
      <c r="I141" s="5" t="n"/>
      <c r="J141" s="15">
        <f>IF(G141="","",F141*G141)</f>
        <v/>
      </c>
    </row>
    <row r="142">
      <c r="A142" s="16" t="n">
        <v>128</v>
      </c>
      <c r="B142" s="16" t="n">
        <v>560901</v>
      </c>
      <c r="C142" s="17" t="inlineStr">
        <is>
          <t>7896658027796</t>
        </is>
      </c>
      <c r="D142" s="18" t="inlineStr">
        <is>
          <t>COLIDIS FR 5ML</t>
        </is>
      </c>
      <c r="E142" s="18" t="inlineStr">
        <is>
          <t>ACHE</t>
        </is>
      </c>
      <c r="F142" s="16" t="n">
        <v>8</v>
      </c>
      <c r="G142" s="13" t="n"/>
      <c r="H142" s="14" t="n"/>
      <c r="I142" s="5" t="n"/>
      <c r="J142" s="19">
        <f>IF(G142="","",F142*G142)</f>
        <v/>
      </c>
    </row>
    <row r="143">
      <c r="A143" s="10" t="n">
        <v>129</v>
      </c>
      <c r="B143" s="10" t="n">
        <v>230641</v>
      </c>
      <c r="C143" s="11" t="inlineStr">
        <is>
          <t>7896015523398</t>
        </is>
      </c>
      <c r="D143" s="12" t="inlineStr">
        <is>
          <t>COMBODART 0,5+0,4MG CX 30 CAP</t>
        </is>
      </c>
      <c r="E143" s="12" t="inlineStr">
        <is>
          <t>GSK</t>
        </is>
      </c>
      <c r="F143" s="10" t="n">
        <v>5</v>
      </c>
      <c r="G143" s="13" t="n"/>
      <c r="H143" s="14" t="n"/>
      <c r="I143" s="5" t="n"/>
      <c r="J143" s="15">
        <f>IF(G143="","",F143*G143)</f>
        <v/>
      </c>
    </row>
    <row r="144">
      <c r="A144" s="16" t="n">
        <v>130</v>
      </c>
      <c r="B144" s="16" t="n">
        <v>641601</v>
      </c>
      <c r="C144" s="17" t="inlineStr">
        <is>
          <t>7896026173018</t>
        </is>
      </c>
      <c r="D144" s="18" t="inlineStr">
        <is>
          <t>COMPLEXO ALMEIDA PRADO 46 C/60 COMP-OUTROS</t>
        </is>
      </c>
      <c r="E144" s="18" t="inlineStr"/>
      <c r="F144" s="16" t="n">
        <v>7</v>
      </c>
      <c r="G144" s="13" t="n"/>
      <c r="H144" s="14" t="n"/>
      <c r="I144" s="5" t="n"/>
      <c r="J144" s="19">
        <f>IF(G144="","",F144*G144)</f>
        <v/>
      </c>
    </row>
    <row r="145">
      <c r="A145" s="10" t="n">
        <v>131</v>
      </c>
      <c r="B145" s="10" t="n">
        <v>6561</v>
      </c>
      <c r="C145" s="11" t="inlineStr">
        <is>
          <t>7894916502900</t>
        </is>
      </c>
      <c r="D145" s="12" t="inlineStr">
        <is>
          <t>CONTRACEP SUS INJ 1 FA X 1ML</t>
        </is>
      </c>
      <c r="E145" s="12" t="inlineStr">
        <is>
          <t>SIGMA PHARMA</t>
        </is>
      </c>
      <c r="F145" s="10" t="n">
        <v>4</v>
      </c>
      <c r="G145" s="13" t="n"/>
      <c r="H145" s="14" t="n"/>
      <c r="I145" s="5" t="n"/>
      <c r="J145" s="15">
        <f>IF(G145="","",F145*G145)</f>
        <v/>
      </c>
    </row>
    <row r="146">
      <c r="A146" s="16" t="n">
        <v>132</v>
      </c>
      <c r="B146" s="16" t="n">
        <v>550761</v>
      </c>
      <c r="C146" s="17" t="inlineStr">
        <is>
          <t>7896015592707</t>
        </is>
      </c>
      <c r="D146" s="18" t="inlineStr">
        <is>
          <t>COREGA PO UNITARIO 22G - MENTA (FRAÇÃO)</t>
        </is>
      </c>
      <c r="E146" s="18" t="inlineStr">
        <is>
          <t>PADRAO</t>
        </is>
      </c>
      <c r="F146" s="16" t="n">
        <v>1</v>
      </c>
      <c r="G146" s="13" t="n"/>
      <c r="H146" s="14" t="n"/>
      <c r="I146" s="5" t="n"/>
      <c r="J146" s="19">
        <f>IF(G146="","",F146*G146)</f>
        <v/>
      </c>
    </row>
    <row r="147">
      <c r="A147" s="10" t="n">
        <v>133</v>
      </c>
      <c r="B147" s="10" t="n">
        <v>655361</v>
      </c>
      <c r="C147" s="11" t="inlineStr">
        <is>
          <t>7896004822013</t>
        </is>
      </c>
      <c r="D147" s="12" t="inlineStr">
        <is>
          <t>COXETO 90MG 7 COM REV-B</t>
        </is>
      </c>
      <c r="E147" s="12" t="inlineStr">
        <is>
          <t>GERMED PRESCRIÇÃO</t>
        </is>
      </c>
      <c r="F147" s="10" t="n">
        <v>1</v>
      </c>
      <c r="G147" s="13" t="n"/>
      <c r="H147" s="14" t="n"/>
      <c r="I147" s="5" t="n"/>
      <c r="J147" s="15">
        <f>IF(G147="","",F147*G147)</f>
        <v/>
      </c>
    </row>
    <row r="148">
      <c r="A148" s="16" t="n">
        <v>134</v>
      </c>
      <c r="B148" s="16" t="n">
        <v>615281</v>
      </c>
      <c r="C148" s="17" t="inlineStr">
        <is>
          <t>4005900945693</t>
        </is>
      </c>
      <c r="D148" s="18" t="inlineStr">
        <is>
          <t>CR FACIAL NIVEA HIDRAT ACNE CONTROL 50G</t>
        </is>
      </c>
      <c r="E148" s="18" t="inlineStr">
        <is>
          <t>NIVEA</t>
        </is>
      </c>
      <c r="F148" s="16" t="n">
        <v>1</v>
      </c>
      <c r="G148" s="13" t="n"/>
      <c r="H148" s="14" t="n"/>
      <c r="I148" s="5" t="n"/>
      <c r="J148" s="19">
        <f>IF(G148="","",F148*G148)</f>
        <v/>
      </c>
    </row>
    <row r="149">
      <c r="A149" s="10" t="n">
        <v>135</v>
      </c>
      <c r="B149" s="10" t="n">
        <v>597201</v>
      </c>
      <c r="C149" s="11" t="inlineStr">
        <is>
          <t>0000042398004</t>
        </is>
      </c>
      <c r="D149" s="12" t="inlineStr">
        <is>
          <t>CR FACIAL NIVEA HIDRAT EM GEL FRESH 100ML</t>
        </is>
      </c>
      <c r="E149" s="12" t="inlineStr">
        <is>
          <t>NIVEA</t>
        </is>
      </c>
      <c r="F149" s="10" t="n">
        <v>4</v>
      </c>
      <c r="G149" s="13" t="n"/>
      <c r="H149" s="14" t="n"/>
      <c r="I149" s="5" t="n"/>
      <c r="J149" s="15">
        <f>IF(G149="","",F149*G149)</f>
        <v/>
      </c>
    </row>
    <row r="150">
      <c r="A150" s="16" t="n">
        <v>136</v>
      </c>
      <c r="B150" s="16" t="n">
        <v>594521</v>
      </c>
      <c r="C150" s="17" t="inlineStr">
        <is>
          <t>0000042360407</t>
        </is>
      </c>
      <c r="D150" s="18" t="inlineStr">
        <is>
          <t>CR FACIAL NIVEA NUTRITIVO 100G</t>
        </is>
      </c>
      <c r="E150" s="18" t="inlineStr">
        <is>
          <t>NIVEA</t>
        </is>
      </c>
      <c r="F150" s="16" t="n">
        <v>5</v>
      </c>
      <c r="G150" s="13" t="n"/>
      <c r="H150" s="14" t="n"/>
      <c r="I150" s="5" t="n"/>
      <c r="J150" s="19">
        <f>IF(G150="","",F150*G150)</f>
        <v/>
      </c>
    </row>
    <row r="151">
      <c r="A151" s="10" t="n">
        <v>137</v>
      </c>
      <c r="B151" s="10" t="n">
        <v>556501</v>
      </c>
      <c r="C151" s="11" t="inlineStr">
        <is>
          <t>42277217</t>
        </is>
      </c>
      <c r="D151" s="12" t="inlineStr">
        <is>
          <t>CR NIVEA 29G</t>
        </is>
      </c>
      <c r="E151" s="12" t="inlineStr">
        <is>
          <t>NIVEA</t>
        </is>
      </c>
      <c r="F151" s="10" t="n">
        <v>19</v>
      </c>
      <c r="G151" s="13" t="n"/>
      <c r="H151" s="14" t="n"/>
      <c r="I151" s="5" t="n"/>
      <c r="J151" s="15">
        <f>IF(G151="","",F151*G151)</f>
        <v/>
      </c>
    </row>
    <row r="152">
      <c r="A152" s="16" t="n">
        <v>138</v>
      </c>
      <c r="B152" s="16" t="n">
        <v>413841</v>
      </c>
      <c r="C152" s="17" t="inlineStr">
        <is>
          <t>7896070600249</t>
        </is>
      </c>
      <c r="D152" s="18" t="inlineStr">
        <is>
          <t>CREMEFENERGAN 20MG/G CREM DERM BG 30G</t>
        </is>
      </c>
      <c r="E152" s="18" t="inlineStr">
        <is>
          <t>SANOFI CONSUMER HEALTHCARE</t>
        </is>
      </c>
      <c r="F152" s="16" t="n">
        <v>1</v>
      </c>
      <c r="G152" s="13" t="n"/>
      <c r="H152" s="14" t="n"/>
      <c r="I152" s="5" t="n"/>
      <c r="J152" s="19">
        <f>IF(G152="","",F152*G152)</f>
        <v/>
      </c>
    </row>
    <row r="153">
      <c r="A153" s="10" t="n">
        <v>139</v>
      </c>
      <c r="B153" s="10" t="n">
        <v>463461</v>
      </c>
      <c r="C153" s="11" t="inlineStr">
        <is>
          <t>7891317136468</t>
        </is>
      </c>
      <c r="D153" s="12" t="inlineStr">
        <is>
          <t>CREVAGIN 30+20MG CREM VAG BG X 40G +7APLIC</t>
        </is>
      </c>
      <c r="E153" s="12" t="inlineStr">
        <is>
          <t>EUROFARMA</t>
        </is>
      </c>
      <c r="F153" s="10" t="n">
        <v>2</v>
      </c>
      <c r="G153" s="13" t="n"/>
      <c r="H153" s="14" t="n"/>
      <c r="I153" s="5" t="n"/>
      <c r="J153" s="15">
        <f>IF(G153="","",F153*G153)</f>
        <v/>
      </c>
    </row>
    <row r="154">
      <c r="A154" s="16" t="n">
        <v>140</v>
      </c>
      <c r="B154" s="16" t="n">
        <v>605281</v>
      </c>
      <c r="C154" s="17" t="inlineStr">
        <is>
          <t>7893454714783</t>
        </is>
      </c>
      <c r="D154" s="18" t="inlineStr">
        <is>
          <t>CULTURELLE PROBIOTICO CX 30 SACHES</t>
        </is>
      </c>
      <c r="E154" s="18" t="inlineStr">
        <is>
          <t>CELLERA FARMA</t>
        </is>
      </c>
      <c r="F154" s="16" t="n">
        <v>1</v>
      </c>
      <c r="G154" s="13" t="n"/>
      <c r="H154" s="14" t="n"/>
      <c r="I154" s="5" t="n"/>
      <c r="J154" s="19">
        <f>IF(G154="","",F154*G154)</f>
        <v/>
      </c>
    </row>
    <row r="155">
      <c r="A155" s="10" t="n">
        <v>141</v>
      </c>
      <c r="B155" s="10" t="n">
        <v>626861</v>
      </c>
      <c r="C155" s="11" t="inlineStr">
        <is>
          <t>7893454714776</t>
        </is>
      </c>
      <c r="D155" s="12" t="inlineStr">
        <is>
          <t>CULTURELLE PROBIOTICO CX 6 SACHES</t>
        </is>
      </c>
      <c r="E155" s="12" t="inlineStr">
        <is>
          <t>CELLERA FARMA</t>
        </is>
      </c>
      <c r="F155" s="10" t="n">
        <v>1</v>
      </c>
      <c r="G155" s="13" t="n"/>
      <c r="H155" s="14" t="n"/>
      <c r="I155" s="5" t="n"/>
      <c r="J155" s="15">
        <f>IF(G155="","",F155*G155)</f>
        <v/>
      </c>
    </row>
    <row r="156">
      <c r="A156" s="16" t="n">
        <v>142</v>
      </c>
      <c r="B156" s="16" t="n">
        <v>651401</v>
      </c>
      <c r="C156" s="17" t="inlineStr">
        <is>
          <t>7896676440508</t>
        </is>
      </c>
      <c r="D156" s="18" t="inlineStr">
        <is>
          <t>CUTISANOL BABY CREME 45G-DEMAIS PROD</t>
        </is>
      </c>
      <c r="E156" s="18" t="inlineStr">
        <is>
          <t>NESTLE</t>
        </is>
      </c>
      <c r="F156" s="16" t="n">
        <v>1</v>
      </c>
      <c r="G156" s="13" t="n"/>
      <c r="H156" s="14" t="n"/>
      <c r="I156" s="5" t="n"/>
      <c r="J156" s="19">
        <f>IF(G156="","",F156*G156)</f>
        <v/>
      </c>
    </row>
    <row r="157">
      <c r="A157" s="10" t="n">
        <v>143</v>
      </c>
      <c r="B157" s="10" t="n">
        <v>605211</v>
      </c>
      <c r="C157" s="11" t="inlineStr">
        <is>
          <t>7896316101424</t>
        </is>
      </c>
      <c r="D157" s="12" t="inlineStr">
        <is>
          <t>CYCLOFEMINA 25MG+5MG/0,5ML SUS INJ 1 AMP X 0,5ML</t>
        </is>
      </c>
      <c r="E157" s="12" t="inlineStr">
        <is>
          <t>HEMAFARMA/CARNOT</t>
        </is>
      </c>
      <c r="F157" s="10" t="n">
        <v>6</v>
      </c>
      <c r="G157" s="13" t="n"/>
      <c r="H157" s="14" t="n"/>
      <c r="I157" s="5" t="n"/>
      <c r="J157" s="15">
        <f>IF(G157="","",F157*G157)</f>
        <v/>
      </c>
    </row>
    <row r="158">
      <c r="A158" s="16" t="n">
        <v>144</v>
      </c>
      <c r="B158" s="16" t="n">
        <v>226061</v>
      </c>
      <c r="C158" s="17" t="inlineStr">
        <is>
          <t>5702191007916</t>
        </is>
      </c>
      <c r="D158" s="18" t="inlineStr">
        <is>
          <t>DAIVOBET 50MCG+0,5MG/G POM DERM BG 30G</t>
        </is>
      </c>
      <c r="E158" s="18" t="inlineStr">
        <is>
          <t>LEO PHARMA</t>
        </is>
      </c>
      <c r="F158" s="16" t="n">
        <v>2</v>
      </c>
      <c r="G158" s="13" t="n"/>
      <c r="H158" s="14" t="n"/>
      <c r="I158" s="5" t="n"/>
      <c r="J158" s="19">
        <f>IF(G158="","",F158*G158)</f>
        <v/>
      </c>
    </row>
    <row r="159">
      <c r="A159" s="10" t="n">
        <v>145</v>
      </c>
      <c r="B159" s="10" t="n">
        <v>347821</v>
      </c>
      <c r="C159" s="11" t="inlineStr">
        <is>
          <t>7896212479825</t>
        </is>
      </c>
      <c r="D159" s="12" t="inlineStr">
        <is>
          <t>DAKTARIN GEL ORAL 20MG/G GEL ORAL BG 40G</t>
        </is>
      </c>
      <c r="E159" s="12" t="inlineStr">
        <is>
          <t>JOHNSON &amp; JOHNSON</t>
        </is>
      </c>
      <c r="F159" s="10" t="n">
        <v>1</v>
      </c>
      <c r="G159" s="13" t="n"/>
      <c r="H159" s="14" t="n"/>
      <c r="I159" s="5" t="n"/>
      <c r="J159" s="15">
        <f>IF(G159="","",F159*G159)</f>
        <v/>
      </c>
    </row>
    <row r="160">
      <c r="A160" s="16" t="n">
        <v>146</v>
      </c>
      <c r="B160" s="16" t="n">
        <v>238881</v>
      </c>
      <c r="C160" s="17" t="inlineStr">
        <is>
          <t>7894916508988</t>
        </is>
      </c>
      <c r="D160" s="18" t="inlineStr">
        <is>
          <t>DALYNE 3+0,3MG CX 21 COMP REV</t>
        </is>
      </c>
      <c r="E160" s="18" t="inlineStr">
        <is>
          <t>SIGMA PHARMA</t>
        </is>
      </c>
      <c r="F160" s="16" t="n">
        <v>1</v>
      </c>
      <c r="G160" s="13" t="n"/>
      <c r="H160" s="14" t="n"/>
      <c r="I160" s="5" t="n"/>
      <c r="J160" s="19">
        <f>IF(G160="","",F160*G160)</f>
        <v/>
      </c>
    </row>
    <row r="161">
      <c r="A161" s="10" t="n">
        <v>147</v>
      </c>
      <c r="B161" s="10" t="n">
        <v>329681</v>
      </c>
      <c r="C161" s="11" t="inlineStr">
        <is>
          <t>7896658001918</t>
        </is>
      </c>
      <c r="D161" s="12" t="inlineStr">
        <is>
          <t>DECONGEX PLUS 0,4+1MG/ML XPE FR 120ML</t>
        </is>
      </c>
      <c r="E161" s="12" t="inlineStr">
        <is>
          <t>ACHE</t>
        </is>
      </c>
      <c r="F161" s="10" t="n">
        <v>5</v>
      </c>
      <c r="G161" s="13" t="n"/>
      <c r="H161" s="14" t="n"/>
      <c r="I161" s="5" t="n"/>
      <c r="J161" s="15">
        <f>IF(G161="","",F161*G161)</f>
        <v/>
      </c>
    </row>
    <row r="162">
      <c r="A162" s="16" t="n">
        <v>148</v>
      </c>
      <c r="B162" s="16" t="n">
        <v>18903</v>
      </c>
      <c r="C162" s="17" t="inlineStr">
        <is>
          <t>7896658049620</t>
        </is>
      </c>
      <c r="D162" s="18" t="inlineStr">
        <is>
          <t>DECONTOSSE 40MG/ML XPE 100ML+CP</t>
        </is>
      </c>
      <c r="E162" s="18" t="inlineStr"/>
      <c r="F162" s="16" t="n">
        <v>4</v>
      </c>
      <c r="G162" s="13" t="n"/>
      <c r="H162" s="14" t="n"/>
      <c r="I162" s="5" t="n"/>
      <c r="J162" s="19">
        <f>IF(G162="","",F162*G162)</f>
        <v/>
      </c>
    </row>
    <row r="163">
      <c r="A163" s="10" t="n">
        <v>149</v>
      </c>
      <c r="B163" s="10" t="n">
        <v>6581</v>
      </c>
      <c r="C163" s="11" t="inlineStr">
        <is>
          <t>7891268101799</t>
        </is>
      </c>
      <c r="D163" s="12" t="inlineStr">
        <is>
          <t>DEPO PROVERA 150MG SUS INJ 1FA X 1ML</t>
        </is>
      </c>
      <c r="E163" s="12" t="inlineStr">
        <is>
          <t>PFIZER</t>
        </is>
      </c>
      <c r="F163" s="10" t="n">
        <v>3</v>
      </c>
      <c r="G163" s="13" t="n"/>
      <c r="H163" s="14" t="n"/>
      <c r="I163" s="5" t="n"/>
      <c r="J163" s="15">
        <f>IF(G163="","",F163*G163)</f>
        <v/>
      </c>
    </row>
    <row r="164">
      <c r="A164" s="16" t="n">
        <v>150</v>
      </c>
      <c r="B164" s="16" t="n">
        <v>6601</v>
      </c>
      <c r="C164" s="17" t="inlineStr">
        <is>
          <t>7891268101782</t>
        </is>
      </c>
      <c r="D164" s="18" t="inlineStr">
        <is>
          <t>DEPO PROVERA 150MG SUS INJ 1FA X 1ML+1SER PREENCH</t>
        </is>
      </c>
      <c r="E164" s="18" t="inlineStr">
        <is>
          <t>PFIZER</t>
        </is>
      </c>
      <c r="F164" s="16" t="n">
        <v>1</v>
      </c>
      <c r="G164" s="13" t="n"/>
      <c r="H164" s="14" t="n"/>
      <c r="I164" s="5" t="n"/>
      <c r="J164" s="19">
        <f>IF(G164="","",F164*G164)</f>
        <v/>
      </c>
    </row>
    <row r="165">
      <c r="A165" s="10" t="n">
        <v>151</v>
      </c>
      <c r="B165" s="10" t="n">
        <v>623211</v>
      </c>
      <c r="C165" s="11" t="inlineStr">
        <is>
          <t>7899706126335</t>
        </is>
      </c>
      <c r="D165" s="12" t="inlineStr">
        <is>
          <t>DERMO EXP AGUA MICELAR 200ML</t>
        </is>
      </c>
      <c r="E165" s="12" t="inlineStr">
        <is>
          <t>LOREAL PARIS</t>
        </is>
      </c>
      <c r="F165" s="10" t="n">
        <v>1</v>
      </c>
      <c r="G165" s="13" t="n"/>
      <c r="H165" s="14" t="n"/>
      <c r="I165" s="5" t="n"/>
      <c r="J165" s="15">
        <f>IF(G165="","",F165*G165)</f>
        <v/>
      </c>
    </row>
    <row r="166">
      <c r="A166" s="16" t="n">
        <v>152</v>
      </c>
      <c r="B166" s="16" t="n">
        <v>630151</v>
      </c>
      <c r="C166" s="17" t="inlineStr">
        <is>
          <t>7896026172066</t>
        </is>
      </c>
      <c r="D166" s="18" t="inlineStr">
        <is>
          <t>DERSANI HIDROGEL ALGINATO 30G-DEMAIS PROD</t>
        </is>
      </c>
      <c r="E166" s="18" t="inlineStr">
        <is>
          <t>MEGALABS</t>
        </is>
      </c>
      <c r="F166" s="16" t="n">
        <v>1</v>
      </c>
      <c r="G166" s="13" t="n"/>
      <c r="H166" s="14" t="n"/>
      <c r="I166" s="5" t="n"/>
      <c r="J166" s="19">
        <f>IF(G166="","",F166*G166)</f>
        <v/>
      </c>
    </row>
    <row r="167">
      <c r="A167" s="10" t="n">
        <v>153</v>
      </c>
      <c r="B167" s="10" t="n">
        <v>553521</v>
      </c>
      <c r="C167" s="11" t="inlineStr">
        <is>
          <t>7898087340040</t>
        </is>
      </c>
      <c r="D167" s="12" t="inlineStr">
        <is>
          <t>DERSANI ORIGINAL LOC OLEOSA 100ML</t>
        </is>
      </c>
      <c r="E167" s="12" t="inlineStr">
        <is>
          <t>MEGALABS FARMACEUTICA</t>
        </is>
      </c>
      <c r="F167" s="10" t="n">
        <v>2</v>
      </c>
      <c r="G167" s="13" t="n"/>
      <c r="H167" s="14" t="n"/>
      <c r="I167" s="5" t="n"/>
      <c r="J167" s="15">
        <f>IF(G167="","",F167*G167)</f>
        <v/>
      </c>
    </row>
    <row r="168">
      <c r="A168" s="16" t="n">
        <v>154</v>
      </c>
      <c r="B168" s="16" t="n">
        <v>604381</v>
      </c>
      <c r="C168" s="17" t="inlineStr">
        <is>
          <t>4005808310999</t>
        </is>
      </c>
      <c r="D168" s="18" t="inlineStr">
        <is>
          <t>DES.HID.NIVEA LOTION 200ML</t>
        </is>
      </c>
      <c r="E168" s="18" t="inlineStr">
        <is>
          <t>NIVEA</t>
        </is>
      </c>
      <c r="F168" s="16" t="n">
        <v>5</v>
      </c>
      <c r="G168" s="13" t="n"/>
      <c r="H168" s="14" t="n"/>
      <c r="I168" s="5" t="n"/>
      <c r="J168" s="19">
        <f>IF(G168="","",F168*G168)</f>
        <v/>
      </c>
    </row>
    <row r="169">
      <c r="A169" s="10" t="n">
        <v>155</v>
      </c>
      <c r="B169" s="10" t="n">
        <v>41803</v>
      </c>
      <c r="C169" s="11" t="inlineStr">
        <is>
          <t>7891721024481</t>
        </is>
      </c>
      <c r="D169" s="12" t="inlineStr">
        <is>
          <t>DEXA-CITONEURIN NFF C/3APX1ML (PGO)</t>
        </is>
      </c>
      <c r="E169" s="12" t="inlineStr">
        <is>
          <t>PROCTER   GAMBLE DO BRASIL</t>
        </is>
      </c>
      <c r="F169" s="10" t="n">
        <v>1</v>
      </c>
      <c r="G169" s="13" t="n"/>
      <c r="H169" s="14" t="n"/>
      <c r="I169" s="5" t="n"/>
      <c r="J169" s="15">
        <f>IF(G169="","",F169*G169)</f>
        <v/>
      </c>
    </row>
    <row r="170">
      <c r="A170" s="16" t="n">
        <v>156</v>
      </c>
      <c r="B170" s="16" t="n">
        <v>207901</v>
      </c>
      <c r="C170" s="17" t="inlineStr">
        <is>
          <t>7896641808982</t>
        </is>
      </c>
      <c r="D170" s="18" t="inlineStr">
        <is>
          <t>DEXILANT 30MG CX 30 CAP LIB RETARD</t>
        </is>
      </c>
      <c r="E170" s="18" t="inlineStr">
        <is>
          <t>TAKEDA PHARMA</t>
        </is>
      </c>
      <c r="F170" s="16" t="n">
        <v>6</v>
      </c>
      <c r="G170" s="13" t="n"/>
      <c r="H170" s="14" t="n"/>
      <c r="I170" s="5" t="n"/>
      <c r="J170" s="19">
        <f>IF(G170="","",F170*G170)</f>
        <v/>
      </c>
    </row>
    <row r="171">
      <c r="A171" s="10" t="n">
        <v>157</v>
      </c>
      <c r="B171" s="10" t="n">
        <v>207821</v>
      </c>
      <c r="C171" s="11" t="inlineStr">
        <is>
          <t>7896641809026</t>
        </is>
      </c>
      <c r="D171" s="12" t="inlineStr">
        <is>
          <t>DEXILANT 60MG CX 30 CAP LIB RETARD</t>
        </is>
      </c>
      <c r="E171" s="12" t="inlineStr">
        <is>
          <t>TAKEDA PHARMA</t>
        </is>
      </c>
      <c r="F171" s="10" t="n">
        <v>4</v>
      </c>
      <c r="G171" s="13" t="n"/>
      <c r="H171" s="14" t="n"/>
      <c r="I171" s="5" t="n"/>
      <c r="J171" s="15">
        <f>IF(G171="","",F171*G171)</f>
        <v/>
      </c>
    </row>
    <row r="172">
      <c r="A172" s="16" t="n">
        <v>158</v>
      </c>
      <c r="B172" s="16" t="n">
        <v>4621</v>
      </c>
      <c r="C172" s="17" t="inlineStr">
        <is>
          <t>7891721010026</t>
        </is>
      </c>
      <c r="D172" s="18" t="inlineStr">
        <is>
          <t>DICLIN 2+0,035MG CX 21 COMP REV</t>
        </is>
      </c>
      <c r="E172" s="18" t="inlineStr">
        <is>
          <t>MERCK</t>
        </is>
      </c>
      <c r="F172" s="16" t="n">
        <v>1</v>
      </c>
      <c r="G172" s="13" t="n"/>
      <c r="H172" s="14" t="n"/>
      <c r="I172" s="5" t="n"/>
      <c r="J172" s="19">
        <f>IF(G172="","",F172*G172)</f>
        <v/>
      </c>
    </row>
    <row r="173">
      <c r="A173" s="10" t="n">
        <v>159</v>
      </c>
      <c r="B173" s="10" t="n">
        <v>134841</v>
      </c>
      <c r="C173" s="11" t="inlineStr">
        <is>
          <t>7898040322441</t>
        </is>
      </c>
      <c r="D173" s="12" t="inlineStr">
        <is>
          <t>DOLAMIN FLEX 125+5,0MG CX 12 COMP REV</t>
        </is>
      </c>
      <c r="E173" s="12" t="inlineStr">
        <is>
          <t>FQM/FARMA</t>
        </is>
      </c>
      <c r="F173" s="10" t="n">
        <v>1</v>
      </c>
      <c r="G173" s="13" t="n"/>
      <c r="H173" s="14" t="n"/>
      <c r="I173" s="5" t="n"/>
      <c r="J173" s="15">
        <f>IF(G173="","",F173*G173)</f>
        <v/>
      </c>
    </row>
    <row r="174">
      <c r="A174" s="16" t="n">
        <v>160</v>
      </c>
      <c r="B174" s="16" t="n">
        <v>142681</v>
      </c>
      <c r="C174" s="17" t="inlineStr">
        <is>
          <t>7896004757957</t>
        </is>
      </c>
      <c r="D174" s="18" t="inlineStr">
        <is>
          <t>DORZAL 20MG/ML SOL OFT FR X 5ML</t>
        </is>
      </c>
      <c r="E174" s="18" t="inlineStr">
        <is>
          <t>LEGRAND PRESCRIÇÃO</t>
        </is>
      </c>
      <c r="F174" s="16" t="n">
        <v>1</v>
      </c>
      <c r="G174" s="13" t="n"/>
      <c r="H174" s="14" t="n"/>
      <c r="I174" s="5" t="n"/>
      <c r="J174" s="19">
        <f>IF(G174="","",F174*G174)</f>
        <v/>
      </c>
    </row>
    <row r="175">
      <c r="A175" s="10" t="n">
        <v>161</v>
      </c>
      <c r="B175" s="10" t="n">
        <v>663061</v>
      </c>
      <c r="C175" s="11" t="inlineStr">
        <is>
          <t>7891150096486</t>
        </is>
      </c>
      <c r="D175" s="12" t="inlineStr">
        <is>
          <t>DOVE GEL LIMP FACIAL PL OLEOS E ACNEIC 150ML   UNIL %DN:17.00</t>
        </is>
      </c>
      <c r="E175" s="12" t="inlineStr">
        <is>
          <t>DOVE</t>
        </is>
      </c>
      <c r="F175" s="10" t="n">
        <v>2</v>
      </c>
      <c r="G175" s="13" t="n"/>
      <c r="H175" s="14" t="n"/>
      <c r="I175" s="5" t="n"/>
      <c r="J175" s="15">
        <f>IF(G175="","",F175*G175)</f>
        <v/>
      </c>
    </row>
    <row r="176">
      <c r="A176" s="16" t="n">
        <v>162</v>
      </c>
      <c r="B176" s="16" t="n">
        <v>666711</v>
      </c>
      <c r="C176" s="17" t="inlineStr">
        <is>
          <t>7891317042202</t>
        </is>
      </c>
      <c r="D176" s="18" t="inlineStr">
        <is>
          <t>DOZI 1000MCG C/30 COMP SUB-OUTROS</t>
        </is>
      </c>
      <c r="E176" s="18" t="inlineStr">
        <is>
          <t>EUROFARMA</t>
        </is>
      </c>
      <c r="F176" s="16" t="n">
        <v>1</v>
      </c>
      <c r="G176" s="13" t="n"/>
      <c r="H176" s="14" t="n"/>
      <c r="I176" s="5" t="n"/>
      <c r="J176" s="19">
        <f>IF(G176="","",F176*G176)</f>
        <v/>
      </c>
    </row>
    <row r="177">
      <c r="A177" s="10" t="n">
        <v>163</v>
      </c>
      <c r="B177" s="10" t="n">
        <v>669071</v>
      </c>
      <c r="C177" s="11" t="inlineStr"/>
      <c r="D177" s="12" t="inlineStr">
        <is>
          <t>DRAMIN CAPS GEL (CARTELADO) PV</t>
        </is>
      </c>
      <c r="E177" s="12" t="inlineStr"/>
      <c r="F177" s="10" t="n">
        <v>1</v>
      </c>
      <c r="G177" s="13" t="n"/>
      <c r="H177" s="14" t="n"/>
      <c r="I177" s="5" t="n"/>
      <c r="J177" s="15">
        <f>IF(G177="","",F177*G177)</f>
        <v/>
      </c>
    </row>
    <row r="178">
      <c r="A178" s="16" t="n">
        <v>164</v>
      </c>
      <c r="B178" s="16" t="n">
        <v>655311</v>
      </c>
      <c r="C178" s="17" t="inlineStr">
        <is>
          <t>7891317027179</t>
        </is>
      </c>
      <c r="D178" s="18" t="inlineStr">
        <is>
          <t>DUALGI 200MG+500MG 12CPR</t>
        </is>
      </c>
      <c r="E178" s="18" t="inlineStr">
        <is>
          <t>EUROFARMA</t>
        </is>
      </c>
      <c r="F178" s="16" t="n">
        <v>2</v>
      </c>
      <c r="G178" s="13" t="n"/>
      <c r="H178" s="14" t="n"/>
      <c r="I178" s="5" t="n"/>
      <c r="J178" s="19">
        <f>IF(G178="","",F178*G178)</f>
        <v/>
      </c>
    </row>
    <row r="179">
      <c r="A179" s="10" t="n">
        <v>165</v>
      </c>
      <c r="B179" s="10" t="n">
        <v>230701</v>
      </c>
      <c r="C179" s="11" t="inlineStr">
        <is>
          <t>7892953003558</t>
        </is>
      </c>
      <c r="D179" s="12" t="inlineStr">
        <is>
          <t>DUTAM 0,5+0,4MG CX 30 CAP LIB PROL</t>
        </is>
      </c>
      <c r="E179" s="12" t="inlineStr">
        <is>
          <t>ADIUM</t>
        </is>
      </c>
      <c r="F179" s="10" t="n">
        <v>10</v>
      </c>
      <c r="G179" s="13" t="n"/>
      <c r="H179" s="14" t="n"/>
      <c r="I179" s="5" t="n"/>
      <c r="J179" s="15">
        <f>IF(G179="","",F179*G179)</f>
        <v/>
      </c>
    </row>
    <row r="180">
      <c r="A180" s="16" t="n">
        <v>166</v>
      </c>
      <c r="B180" s="16" t="n">
        <v>230841</v>
      </c>
      <c r="C180" s="17" t="inlineStr">
        <is>
          <t>7891317005351</t>
        </is>
      </c>
      <c r="D180" s="18" t="inlineStr">
        <is>
          <t>EBASTEL 10MG CX 10 COMP</t>
        </is>
      </c>
      <c r="E180" s="18" t="inlineStr">
        <is>
          <t>EUROFARMA</t>
        </is>
      </c>
      <c r="F180" s="16" t="n">
        <v>3</v>
      </c>
      <c r="G180" s="13" t="n"/>
      <c r="H180" s="14" t="n"/>
      <c r="I180" s="5" t="n"/>
      <c r="J180" s="19">
        <f>IF(G180="","",F180*G180)</f>
        <v/>
      </c>
    </row>
    <row r="181">
      <c r="A181" s="10" t="n">
        <v>167</v>
      </c>
      <c r="B181" s="10" t="n">
        <v>83081</v>
      </c>
      <c r="C181" s="11" t="inlineStr">
        <is>
          <t>7896676433050</t>
        </is>
      </c>
      <c r="D181" s="12" t="inlineStr">
        <is>
          <t>ECOFILM 5MG SOL OFT FR GTS 5ML</t>
        </is>
      </c>
      <c r="E181" s="12" t="inlineStr">
        <is>
          <t>CRISTALIA</t>
        </is>
      </c>
      <c r="F181" s="10" t="n">
        <v>7</v>
      </c>
      <c r="G181" s="13" t="n"/>
      <c r="H181" s="14" t="n"/>
      <c r="I181" s="5" t="n"/>
      <c r="J181" s="15">
        <f>IF(G181="","",F181*G181)</f>
        <v/>
      </c>
    </row>
    <row r="182">
      <c r="A182" s="16" t="n">
        <v>168</v>
      </c>
      <c r="B182" s="16" t="n">
        <v>7003</v>
      </c>
      <c r="C182" s="17" t="inlineStr">
        <is>
          <t>5000456096638</t>
        </is>
      </c>
      <c r="D182" s="18" t="inlineStr">
        <is>
          <t>EDISTRIDE 10MG 30CPR REV</t>
        </is>
      </c>
      <c r="E182" s="18" t="inlineStr">
        <is>
          <t>ACHE</t>
        </is>
      </c>
      <c r="F182" s="16" t="n">
        <v>40</v>
      </c>
      <c r="G182" s="13" t="n"/>
      <c r="H182" s="14" t="n"/>
      <c r="I182" s="5" t="n"/>
      <c r="J182" s="19">
        <f>IF(G182="","",F182*G182)</f>
        <v/>
      </c>
    </row>
    <row r="183">
      <c r="A183" s="10" t="n">
        <v>169</v>
      </c>
      <c r="B183" s="10" t="n">
        <v>663891</v>
      </c>
      <c r="C183" s="11" t="inlineStr">
        <is>
          <t>7899706155021</t>
        </is>
      </c>
      <c r="D183" s="12" t="inlineStr">
        <is>
          <t>EFFACLAR GEL CONCENTRADO 300GR-DEMAIS PROD</t>
        </is>
      </c>
      <c r="E183" s="12" t="inlineStr">
        <is>
          <t>LA ROCHE</t>
        </is>
      </c>
      <c r="F183" s="10" t="n">
        <v>1</v>
      </c>
      <c r="G183" s="13" t="n"/>
      <c r="H183" s="14" t="n"/>
      <c r="I183" s="5" t="n"/>
      <c r="J183" s="15">
        <f>IF(G183="","",F183*G183)</f>
        <v/>
      </c>
    </row>
    <row r="184">
      <c r="A184" s="16" t="n">
        <v>170</v>
      </c>
      <c r="B184" s="16" t="n">
        <v>393461</v>
      </c>
      <c r="C184" s="17" t="inlineStr">
        <is>
          <t>7896023701436</t>
        </is>
      </c>
      <c r="D184" s="18" t="inlineStr">
        <is>
          <t>ELIXIR PAREGORICO 0,05ML/ML SOL OR FR GOT 30ML</t>
        </is>
      </c>
      <c r="E184" s="18" t="inlineStr">
        <is>
          <t>CATARINENSE PHARMA</t>
        </is>
      </c>
      <c r="F184" s="16" t="n">
        <v>8</v>
      </c>
      <c r="G184" s="13" t="n"/>
      <c r="H184" s="14" t="n"/>
      <c r="I184" s="5" t="n"/>
      <c r="J184" s="19">
        <f>IF(G184="","",F184*G184)</f>
        <v/>
      </c>
    </row>
    <row r="185">
      <c r="A185" s="10" t="n">
        <v>171</v>
      </c>
      <c r="B185" s="10" t="n">
        <v>600341</v>
      </c>
      <c r="C185" s="11" t="inlineStr">
        <is>
          <t>7891024033425</t>
        </is>
      </c>
      <c r="D185" s="12" t="inlineStr">
        <is>
          <t>ENX BUC COLGATE PERIOG EXTRA MINT 250ML</t>
        </is>
      </c>
      <c r="E185" s="12" t="inlineStr">
        <is>
          <t>COLGATE PALMOLIVE</t>
        </is>
      </c>
      <c r="F185" s="10" t="n">
        <v>10</v>
      </c>
      <c r="G185" s="13" t="n"/>
      <c r="H185" s="14" t="n"/>
      <c r="I185" s="5" t="n"/>
      <c r="J185" s="15">
        <f>IF(G185="","",F185*G185)</f>
        <v/>
      </c>
    </row>
    <row r="186">
      <c r="A186" s="16" t="n">
        <v>172</v>
      </c>
      <c r="B186" s="16" t="n">
        <v>646151</v>
      </c>
      <c r="C186" s="17" t="inlineStr">
        <is>
          <t>7896094922228</t>
        </is>
      </c>
      <c r="D186" s="18" t="inlineStr">
        <is>
          <t>EPAREMA FLACONETES 10ML X 4</t>
        </is>
      </c>
      <c r="E186" s="18" t="inlineStr">
        <is>
          <t>COSMED</t>
        </is>
      </c>
      <c r="F186" s="16" t="n">
        <v>1</v>
      </c>
      <c r="G186" s="13" t="n"/>
      <c r="H186" s="14" t="n"/>
      <c r="I186" s="5" t="n"/>
      <c r="J186" s="19">
        <f>IF(G186="","",F186*G186)</f>
        <v/>
      </c>
    </row>
    <row r="187">
      <c r="A187" s="10" t="n">
        <v>173</v>
      </c>
      <c r="B187" s="10" t="n">
        <v>15</v>
      </c>
      <c r="C187" s="11" t="inlineStr">
        <is>
          <t>7896094903272</t>
        </is>
      </c>
      <c r="D187" s="12" t="inlineStr">
        <is>
          <t>EPOCLER SOL ORAL FLACONETE CAIXA C/ 12</t>
        </is>
      </c>
      <c r="E187" s="12" t="inlineStr">
        <is>
          <t>HYPERA FARMA</t>
        </is>
      </c>
      <c r="F187" s="10" t="n">
        <v>49</v>
      </c>
      <c r="G187" s="13" t="n"/>
      <c r="H187" s="14" t="n"/>
      <c r="I187" s="5" t="n"/>
      <c r="J187" s="15">
        <f>IF(G187="","",F187*G187)</f>
        <v/>
      </c>
    </row>
    <row r="188">
      <c r="A188" s="16" t="n">
        <v>174</v>
      </c>
      <c r="B188" s="16" t="n">
        <v>550801</v>
      </c>
      <c r="C188" s="17" t="inlineStr">
        <is>
          <t>7892828001337</t>
        </is>
      </c>
      <c r="D188" s="18" t="inlineStr">
        <is>
          <t>ETNA 1+2,5+1,5MG CX 20 CAP</t>
        </is>
      </c>
      <c r="E188" s="18" t="inlineStr">
        <is>
          <t>GROSS</t>
        </is>
      </c>
      <c r="F188" s="16" t="n">
        <v>4</v>
      </c>
      <c r="G188" s="13" t="n"/>
      <c r="H188" s="14" t="n"/>
      <c r="I188" s="5" t="n"/>
      <c r="J188" s="19">
        <f>IF(G188="","",F188*G188)</f>
        <v/>
      </c>
    </row>
    <row r="189">
      <c r="A189" s="10" t="n">
        <v>175</v>
      </c>
      <c r="B189" s="10" t="n">
        <v>658021</v>
      </c>
      <c r="C189" s="11" t="inlineStr">
        <is>
          <t>4005900995520</t>
        </is>
      </c>
      <c r="D189" s="12" t="inlineStr">
        <is>
          <t>EUCERIN HYDRO FLUID SUN FPS60 50ML</t>
        </is>
      </c>
      <c r="E189" s="12" t="inlineStr"/>
      <c r="F189" s="10" t="n">
        <v>1</v>
      </c>
      <c r="G189" s="13" t="n"/>
      <c r="H189" s="14" t="n"/>
      <c r="I189" s="5" t="n"/>
      <c r="J189" s="15">
        <f>IF(G189="","",F189*G189)</f>
        <v/>
      </c>
    </row>
    <row r="190">
      <c r="A190" s="16" t="n">
        <v>176</v>
      </c>
      <c r="B190" s="16" t="n">
        <v>320001</v>
      </c>
      <c r="C190" s="17" t="inlineStr">
        <is>
          <t>7891721014741</t>
        </is>
      </c>
      <c r="D190" s="18" t="inlineStr">
        <is>
          <t>EUTHYROX 75MCG CART 50 COMP</t>
        </is>
      </c>
      <c r="E190" s="18" t="inlineStr">
        <is>
          <t>MERCK</t>
        </is>
      </c>
      <c r="F190" s="16" t="n">
        <v>1</v>
      </c>
      <c r="G190" s="13" t="n"/>
      <c r="H190" s="14" t="n"/>
      <c r="I190" s="5" t="n"/>
      <c r="J190" s="19">
        <f>IF(G190="","",F190*G190)</f>
        <v/>
      </c>
    </row>
    <row r="191">
      <c r="A191" s="10" t="n">
        <v>177</v>
      </c>
      <c r="B191" s="10" t="n">
        <v>669141</v>
      </c>
      <c r="C191" s="11" t="inlineStr">
        <is>
          <t>7898040325466</t>
        </is>
      </c>
      <c r="D191" s="12" t="inlineStr">
        <is>
          <t>EXIMIA FORTALIZE FORTALIZE KERA D FR 30 COMP</t>
        </is>
      </c>
      <c r="E191" s="12" t="inlineStr">
        <is>
          <t>FQM/MELORA</t>
        </is>
      </c>
      <c r="F191" s="10" t="n">
        <v>5</v>
      </c>
      <c r="G191" s="13" t="n"/>
      <c r="H191" s="14" t="n"/>
      <c r="I191" s="5" t="n"/>
      <c r="J191" s="15">
        <f>IF(G191="","",F191*G191)</f>
        <v/>
      </c>
    </row>
    <row r="192">
      <c r="A192" s="16" t="n">
        <v>178</v>
      </c>
      <c r="B192" s="16" t="n">
        <v>490681</v>
      </c>
      <c r="C192" s="17" t="inlineStr">
        <is>
          <t>7896004777221</t>
        </is>
      </c>
      <c r="D192" s="18" t="inlineStr">
        <is>
          <t>FACOBA 5+1MG/ML SOL OFT FR 5ML-L</t>
        </is>
      </c>
      <c r="E192" s="18" t="inlineStr">
        <is>
          <t>LEGRAND PRESCRIÇÃO</t>
        </is>
      </c>
      <c r="F192" s="16" t="n">
        <v>6</v>
      </c>
      <c r="G192" s="13" t="n"/>
      <c r="H192" s="14" t="n"/>
      <c r="I192" s="5" t="n"/>
      <c r="J192" s="19">
        <f>IF(G192="","",F192*G192)</f>
        <v/>
      </c>
    </row>
    <row r="193">
      <c r="A193" s="10" t="n">
        <v>179</v>
      </c>
      <c r="B193" s="10" t="n">
        <v>646991</v>
      </c>
      <c r="C193" s="11" t="inlineStr">
        <is>
          <t>7500435185011</t>
        </is>
      </c>
      <c r="D193" s="12" t="inlineStr">
        <is>
          <t>FEMIBION 1 C/28 COMP-DEMAIS PROD</t>
        </is>
      </c>
      <c r="E193" s="12" t="inlineStr">
        <is>
          <t>P&amp;G</t>
        </is>
      </c>
      <c r="F193" s="10" t="n">
        <v>1</v>
      </c>
      <c r="G193" s="13" t="n"/>
      <c r="H193" s="14" t="n"/>
      <c r="I193" s="5" t="n"/>
      <c r="J193" s="15">
        <f>IF(G193="","",F193*G193)</f>
        <v/>
      </c>
    </row>
    <row r="194">
      <c r="A194" s="16" t="n">
        <v>180</v>
      </c>
      <c r="B194" s="16" t="n">
        <v>430141</v>
      </c>
      <c r="C194" s="17" t="inlineStr">
        <is>
          <t>7896014673124</t>
        </is>
      </c>
      <c r="D194" s="18" t="inlineStr">
        <is>
          <t>FERROPURUM 20 MG/ML SOL INJ 5 AMP 5ML</t>
        </is>
      </c>
      <c r="E194" s="18" t="inlineStr">
        <is>
          <t>BLAU FARMACEUTICA</t>
        </is>
      </c>
      <c r="F194" s="16" t="n">
        <v>5</v>
      </c>
      <c r="G194" s="13" t="n"/>
      <c r="H194" s="14" t="n"/>
      <c r="I194" s="5" t="n"/>
      <c r="J194" s="19">
        <f>IF(G194="","",F194*G194)</f>
        <v/>
      </c>
    </row>
    <row r="195">
      <c r="A195" s="10" t="n">
        <v>181</v>
      </c>
      <c r="B195" s="10" t="n">
        <v>626071</v>
      </c>
      <c r="C195" s="11" t="inlineStr">
        <is>
          <t>7896023756849</t>
        </is>
      </c>
      <c r="D195" s="12" t="inlineStr">
        <is>
          <t>FIGATIL 10ML FLACONETE</t>
        </is>
      </c>
      <c r="E195" s="12" t="inlineStr">
        <is>
          <t>CATARINENSE PHARMA</t>
        </is>
      </c>
      <c r="F195" s="10" t="n">
        <v>1</v>
      </c>
      <c r="G195" s="13" t="n"/>
      <c r="H195" s="14" t="n"/>
      <c r="I195" s="5" t="n"/>
      <c r="J195" s="15">
        <f>IF(G195="","",F195*G195)</f>
        <v/>
      </c>
    </row>
    <row r="196">
      <c r="A196" s="16" t="n">
        <v>182</v>
      </c>
      <c r="B196" s="16" t="n">
        <v>615321</v>
      </c>
      <c r="C196" s="17" t="inlineStr">
        <is>
          <t>4005808311286</t>
        </is>
      </c>
      <c r="D196" s="18" t="inlineStr">
        <is>
          <t>FIRM NIVEA LOCAO Q10 VITC 200ML</t>
        </is>
      </c>
      <c r="E196" s="18" t="inlineStr">
        <is>
          <t>NIVEA</t>
        </is>
      </c>
      <c r="F196" s="16" t="n">
        <v>1</v>
      </c>
      <c r="G196" s="13" t="n"/>
      <c r="H196" s="14" t="n"/>
      <c r="I196" s="5" t="n"/>
      <c r="J196" s="19">
        <f>IF(G196="","",F196*G196)</f>
        <v/>
      </c>
    </row>
    <row r="197">
      <c r="A197" s="10" t="n">
        <v>183</v>
      </c>
      <c r="B197" s="10" t="n">
        <v>609751</v>
      </c>
      <c r="C197" s="11" t="inlineStr">
        <is>
          <t>7896026171366</t>
        </is>
      </c>
      <c r="D197" s="12" t="inlineStr">
        <is>
          <t>FISIOGEL AI LOC CREMOSA 100ML</t>
        </is>
      </c>
      <c r="E197" s="12" t="inlineStr">
        <is>
          <t>MEGALABS FARMACEUTICA</t>
        </is>
      </c>
      <c r="F197" s="10" t="n">
        <v>6</v>
      </c>
      <c r="G197" s="13" t="n"/>
      <c r="H197" s="14" t="n"/>
      <c r="I197" s="5" t="n"/>
      <c r="J197" s="15">
        <f>IF(G197="","",F197*G197)</f>
        <v/>
      </c>
    </row>
    <row r="198">
      <c r="A198" s="16" t="n">
        <v>184</v>
      </c>
      <c r="B198" s="16" t="n">
        <v>643971</v>
      </c>
      <c r="C198" s="17" t="inlineStr">
        <is>
          <t>7896026172639</t>
        </is>
      </c>
      <c r="D198" s="18" t="inlineStr">
        <is>
          <t>FISIOGEL HID PELE SECA 200G-DEMAIS PROD</t>
        </is>
      </c>
      <c r="E198" s="18" t="inlineStr">
        <is>
          <t>MEGALABS</t>
        </is>
      </c>
      <c r="F198" s="16" t="n">
        <v>2</v>
      </c>
      <c r="G198" s="13" t="n"/>
      <c r="H198" s="14" t="n"/>
      <c r="I198" s="5" t="n"/>
      <c r="J198" s="19">
        <f>IF(G198="","",F198*G198)</f>
        <v/>
      </c>
    </row>
    <row r="199">
      <c r="A199" s="10" t="n">
        <v>185</v>
      </c>
      <c r="B199" s="10" t="n">
        <v>658791</v>
      </c>
      <c r="C199" s="11" t="inlineStr">
        <is>
          <t>7898074613010</t>
        </is>
      </c>
      <c r="D199" s="12" t="inlineStr">
        <is>
          <t>FISIOGEN FERRO FORTE FERRO SUCROSSOMAL</t>
        </is>
      </c>
      <c r="E199" s="12" t="inlineStr">
        <is>
          <t>ZAMBON</t>
        </is>
      </c>
      <c r="F199" s="10" t="n">
        <v>1</v>
      </c>
      <c r="G199" s="13" t="n"/>
      <c r="H199" s="14" t="n"/>
      <c r="I199" s="5" t="n"/>
      <c r="J199" s="15">
        <f>IF(G199="","",F199*G199)</f>
        <v/>
      </c>
    </row>
    <row r="200">
      <c r="A200" s="16" t="n">
        <v>186</v>
      </c>
      <c r="B200" s="16" t="n">
        <v>355221</v>
      </c>
      <c r="C200" s="17" t="inlineStr">
        <is>
          <t>7891106006491</t>
        </is>
      </c>
      <c r="D200" s="18" t="inlineStr">
        <is>
          <t>FLANAX 275MG CX 20 COMP REV</t>
        </is>
      </c>
      <c r="E200" s="18" t="inlineStr">
        <is>
          <t>BAYER</t>
        </is>
      </c>
      <c r="F200" s="16" t="n">
        <v>2</v>
      </c>
      <c r="G200" s="13" t="n"/>
      <c r="H200" s="14" t="n"/>
      <c r="I200" s="5" t="n"/>
      <c r="J200" s="19">
        <f>IF(G200="","",F200*G200)</f>
        <v/>
      </c>
    </row>
    <row r="201">
      <c r="A201" s="10" t="n">
        <v>187</v>
      </c>
      <c r="B201" s="10" t="n">
        <v>355201</v>
      </c>
      <c r="C201" s="11" t="inlineStr">
        <is>
          <t>7891106908313</t>
        </is>
      </c>
      <c r="D201" s="12" t="inlineStr">
        <is>
          <t>FLANAX 550 MG COM 2CP(CARTELA)</t>
        </is>
      </c>
      <c r="E201" s="12" t="inlineStr">
        <is>
          <t>BAYER S.A.</t>
        </is>
      </c>
      <c r="F201" s="10" t="n">
        <v>27</v>
      </c>
      <c r="G201" s="13" t="n"/>
      <c r="H201" s="14" t="n"/>
      <c r="I201" s="5" t="n"/>
      <c r="J201" s="15">
        <f>IF(G201="","",F201*G201)</f>
        <v/>
      </c>
    </row>
    <row r="202">
      <c r="A202" s="10" t="n">
        <v>188</v>
      </c>
      <c r="B202" s="10" t="n">
        <v>355201</v>
      </c>
      <c r="C202" s="11" t="inlineStr">
        <is>
          <t>7891106912471</t>
        </is>
      </c>
      <c r="D202" s="12" t="inlineStr">
        <is>
          <t>FLANAX 550 MG COM 2CP(CARTELA)</t>
        </is>
      </c>
      <c r="E202" s="12" t="inlineStr">
        <is>
          <t>BAYER S.A.</t>
        </is>
      </c>
      <c r="F202" s="10" t="n">
        <v>27</v>
      </c>
      <c r="G202" s="13" t="n"/>
      <c r="H202" s="14" t="n"/>
      <c r="I202" s="5" t="n"/>
      <c r="J202" s="15">
        <f>IF(G202="","",F202*G202)</f>
        <v/>
      </c>
    </row>
    <row r="203">
      <c r="A203" s="16" t="n">
        <v>189</v>
      </c>
      <c r="B203" s="16" t="n">
        <v>355241</v>
      </c>
      <c r="C203" s="17" t="inlineStr">
        <is>
          <t>7891106006507</t>
        </is>
      </c>
      <c r="D203" s="18" t="inlineStr">
        <is>
          <t>FLANAX 550MG CX 10 COMP REV</t>
        </is>
      </c>
      <c r="E203" s="18" t="inlineStr">
        <is>
          <t>BAYER</t>
        </is>
      </c>
      <c r="F203" s="16" t="n">
        <v>20</v>
      </c>
      <c r="G203" s="13" t="n"/>
      <c r="H203" s="14" t="n"/>
      <c r="I203" s="5" t="n"/>
      <c r="J203" s="19">
        <f>IF(G203="","",F203*G203)</f>
        <v/>
      </c>
    </row>
    <row r="204">
      <c r="A204" s="10" t="n">
        <v>190</v>
      </c>
      <c r="B204" s="10" t="n">
        <v>668981</v>
      </c>
      <c r="C204" s="11" t="inlineStr">
        <is>
          <t>7891106910989</t>
        </is>
      </c>
      <c r="D204" s="12" t="inlineStr">
        <is>
          <t>FLANAX XR 660MG C/8 COMP REV-REFERENCIA</t>
        </is>
      </c>
      <c r="E204" s="12" t="inlineStr">
        <is>
          <t>BAYER</t>
        </is>
      </c>
      <c r="F204" s="10" t="n">
        <v>2</v>
      </c>
      <c r="G204" s="13" t="n"/>
      <c r="H204" s="14" t="n"/>
      <c r="I204" s="5" t="n"/>
      <c r="J204" s="15">
        <f>IF(G204="","",F204*G204)</f>
        <v/>
      </c>
    </row>
    <row r="205">
      <c r="A205" s="16" t="n">
        <v>191</v>
      </c>
      <c r="B205" s="16" t="n">
        <v>240601</v>
      </c>
      <c r="C205" s="17" t="inlineStr">
        <is>
          <t>7896637023344</t>
        </is>
      </c>
      <c r="D205" s="18" t="inlineStr">
        <is>
          <t>FLANCOX 400MG CX 10 COMP REV</t>
        </is>
      </c>
      <c r="E205" s="18" t="inlineStr">
        <is>
          <t>APSEN</t>
        </is>
      </c>
      <c r="F205" s="16" t="n">
        <v>2</v>
      </c>
      <c r="G205" s="13" t="n"/>
      <c r="H205" s="14" t="n"/>
      <c r="I205" s="5" t="n"/>
      <c r="J205" s="19">
        <f>IF(G205="","",F205*G205)</f>
        <v/>
      </c>
    </row>
    <row r="206">
      <c r="A206" s="10" t="n">
        <v>192</v>
      </c>
      <c r="B206" s="10" t="n">
        <v>240241</v>
      </c>
      <c r="C206" s="11" t="inlineStr">
        <is>
          <t>7896637023238</t>
        </is>
      </c>
      <c r="D206" s="12" t="inlineStr">
        <is>
          <t>FLANCOX 500MG CX 14 COMP REV</t>
        </is>
      </c>
      <c r="E206" s="12" t="inlineStr">
        <is>
          <t>APSEN</t>
        </is>
      </c>
      <c r="F206" s="10" t="n">
        <v>9</v>
      </c>
      <c r="G206" s="13" t="n"/>
      <c r="H206" s="14" t="n"/>
      <c r="I206" s="5" t="n"/>
      <c r="J206" s="15">
        <f>IF(G206="","",F206*G206)</f>
        <v/>
      </c>
    </row>
    <row r="207">
      <c r="A207" s="16" t="n">
        <v>193</v>
      </c>
      <c r="B207" s="16" t="n">
        <v>582241</v>
      </c>
      <c r="C207" s="17" t="inlineStr">
        <is>
          <t>7896637031943</t>
        </is>
      </c>
      <c r="D207" s="18" t="inlineStr">
        <is>
          <t>FLANCOX 600MG CX 14 REV OR</t>
        </is>
      </c>
      <c r="E207" s="18" t="inlineStr">
        <is>
          <t>APSEN</t>
        </is>
      </c>
      <c r="F207" s="16" t="n">
        <v>24</v>
      </c>
      <c r="G207" s="13" t="n"/>
      <c r="H207" s="14" t="n"/>
      <c r="I207" s="5" t="n"/>
      <c r="J207" s="19">
        <f>IF(G207="","",F207*G207)</f>
        <v/>
      </c>
    </row>
    <row r="208">
      <c r="A208" s="10" t="n">
        <v>194</v>
      </c>
      <c r="B208" s="10" t="n">
        <v>566701</v>
      </c>
      <c r="C208" s="11" t="inlineStr">
        <is>
          <t>7898040324438</t>
        </is>
      </c>
      <c r="D208" s="12" t="inlineStr">
        <is>
          <t>FLETOP LOCAO 200ML</t>
        </is>
      </c>
      <c r="E208" s="12" t="inlineStr">
        <is>
          <t>FQM/FARMA</t>
        </is>
      </c>
      <c r="F208" s="10" t="n">
        <v>1</v>
      </c>
      <c r="G208" s="13" t="n"/>
      <c r="H208" s="14" t="n"/>
      <c r="I208" s="5" t="n"/>
      <c r="J208" s="15">
        <f>IF(G208="","",F208*G208)</f>
        <v/>
      </c>
    </row>
    <row r="209">
      <c r="A209" s="16" t="n">
        <v>195</v>
      </c>
      <c r="B209" s="16" t="n">
        <v>652451</v>
      </c>
      <c r="C209" s="17" t="inlineStr"/>
      <c r="D209" s="18" t="inlineStr">
        <is>
          <t>FLOGORAL CARTELA 4 PAST SB LARANJA</t>
        </is>
      </c>
      <c r="E209" s="18" t="inlineStr">
        <is>
          <t>ACHE</t>
        </is>
      </c>
      <c r="F209" s="16" t="n">
        <v>3</v>
      </c>
      <c r="G209" s="13" t="n"/>
      <c r="H209" s="14" t="n"/>
      <c r="I209" s="5" t="n"/>
      <c r="J209" s="19">
        <f>IF(G209="","",F209*G209)</f>
        <v/>
      </c>
    </row>
    <row r="210">
      <c r="A210" s="10" t="n">
        <v>196</v>
      </c>
      <c r="B210" s="10" t="n">
        <v>127721</v>
      </c>
      <c r="C210" s="11" t="inlineStr">
        <is>
          <t>7896658006760</t>
        </is>
      </c>
      <c r="D210" s="12" t="inlineStr">
        <is>
          <t>FLOGORAL COLUT FR 150ML+CM SB TRADICIONAL</t>
        </is>
      </c>
      <c r="E210" s="12" t="inlineStr">
        <is>
          <t>ACHE</t>
        </is>
      </c>
      <c r="F210" s="10" t="n">
        <v>1</v>
      </c>
      <c r="G210" s="13" t="n"/>
      <c r="H210" s="14" t="n"/>
      <c r="I210" s="5" t="n"/>
      <c r="J210" s="15">
        <f>IF(G210="","",F210*G210)</f>
        <v/>
      </c>
    </row>
    <row r="211">
      <c r="A211" s="16" t="n">
        <v>197</v>
      </c>
      <c r="B211" s="16" t="n">
        <v>634241</v>
      </c>
      <c r="C211" s="17" t="inlineStr">
        <is>
          <t>7898040329648</t>
        </is>
      </c>
      <c r="D211" s="18" t="inlineStr">
        <is>
          <t>FLORATIL 100MG CX 12 CAP</t>
        </is>
      </c>
      <c r="E211" s="18" t="inlineStr">
        <is>
          <t>FQM/DIVCOM</t>
        </is>
      </c>
      <c r="F211" s="16" t="n">
        <v>3</v>
      </c>
      <c r="G211" s="13" t="n"/>
      <c r="H211" s="14" t="n"/>
      <c r="I211" s="5" t="n"/>
      <c r="J211" s="19">
        <f>IF(G211="","",F211*G211)</f>
        <v/>
      </c>
    </row>
    <row r="212">
      <c r="A212" s="10" t="n">
        <v>198</v>
      </c>
      <c r="B212" s="10" t="n">
        <v>123901</v>
      </c>
      <c r="C212" s="11" t="inlineStr">
        <is>
          <t>7896672201523</t>
        </is>
      </c>
      <c r="D212" s="12" t="inlineStr">
        <is>
          <t>FLUIBRON 7,5MG/ML SOL INAL ENV 10 FLAC X 2ML</t>
        </is>
      </c>
      <c r="E212" s="12" t="inlineStr">
        <is>
          <t>CHIESI</t>
        </is>
      </c>
      <c r="F212" s="10" t="n">
        <v>1</v>
      </c>
      <c r="G212" s="13" t="n"/>
      <c r="H212" s="14" t="n"/>
      <c r="I212" s="5" t="n"/>
      <c r="J212" s="15">
        <f>IF(G212="","",F212*G212)</f>
        <v/>
      </c>
    </row>
    <row r="213">
      <c r="A213" s="16" t="n">
        <v>199</v>
      </c>
      <c r="B213" s="16" t="n">
        <v>574201</v>
      </c>
      <c r="C213" s="17" t="inlineStr">
        <is>
          <t>7896672203954</t>
        </is>
      </c>
      <c r="D213" s="18" t="inlineStr">
        <is>
          <t>FLUIBRON 7,5MG/ML SOL OR FR X 50ML</t>
        </is>
      </c>
      <c r="E213" s="18" t="inlineStr">
        <is>
          <t>CHIESI</t>
        </is>
      </c>
      <c r="F213" s="16" t="n">
        <v>10</v>
      </c>
      <c r="G213" s="13" t="n"/>
      <c r="H213" s="14" t="n"/>
      <c r="I213" s="5" t="n"/>
      <c r="J213" s="19">
        <f>IF(G213="","",F213*G213)</f>
        <v/>
      </c>
    </row>
    <row r="214">
      <c r="A214" s="10" t="n">
        <v>200</v>
      </c>
      <c r="B214" s="10" t="n">
        <v>5981</v>
      </c>
      <c r="C214" s="11" t="inlineStr">
        <is>
          <t>7896676432916</t>
        </is>
      </c>
      <c r="D214" s="12" t="inlineStr">
        <is>
          <t>FLUTINOL 1MG/ML SUS OFT FR 5ML</t>
        </is>
      </c>
      <c r="E214" s="12" t="inlineStr">
        <is>
          <t>CRISTALIA</t>
        </is>
      </c>
      <c r="F214" s="10" t="n">
        <v>1</v>
      </c>
      <c r="G214" s="13" t="n"/>
      <c r="H214" s="14" t="n"/>
      <c r="I214" s="5" t="n"/>
      <c r="J214" s="15">
        <f>IF(G214="","",F214*G214)</f>
        <v/>
      </c>
    </row>
    <row r="215">
      <c r="A215" s="16" t="n">
        <v>201</v>
      </c>
      <c r="B215" s="16" t="n">
        <v>636341</v>
      </c>
      <c r="C215" s="17" t="inlineStr">
        <is>
          <t>7891317023331</t>
        </is>
      </c>
      <c r="D215" s="18" t="inlineStr">
        <is>
          <t>FORFIG 200MG CX 20 CAP</t>
        </is>
      </c>
      <c r="E215" s="18" t="inlineStr">
        <is>
          <t>MOMENTA</t>
        </is>
      </c>
      <c r="F215" s="16" t="n">
        <v>1</v>
      </c>
      <c r="G215" s="13" t="n"/>
      <c r="H215" s="14" t="n"/>
      <c r="I215" s="5" t="n"/>
      <c r="J215" s="19">
        <f>IF(G215="","",F215*G215)</f>
        <v/>
      </c>
    </row>
    <row r="216">
      <c r="A216" s="10" t="n">
        <v>202</v>
      </c>
      <c r="B216" s="10" t="n">
        <v>539681</v>
      </c>
      <c r="C216" s="11" t="inlineStr">
        <is>
          <t>7896677700281</t>
        </is>
      </c>
      <c r="D216" s="12" t="inlineStr">
        <is>
          <t>FORTEVIRON CX 60 COMP</t>
        </is>
      </c>
      <c r="E216" s="12" t="inlineStr">
        <is>
          <t>WP LAB.</t>
        </is>
      </c>
      <c r="F216" s="10" t="n">
        <v>1</v>
      </c>
      <c r="G216" s="13" t="n"/>
      <c r="H216" s="14" t="n"/>
      <c r="I216" s="5" t="n"/>
      <c r="J216" s="15">
        <f>IF(G216="","",F216*G216)</f>
        <v/>
      </c>
    </row>
    <row r="217">
      <c r="A217" s="16" t="n">
        <v>203</v>
      </c>
      <c r="B217" s="16" t="n">
        <v>638781</v>
      </c>
      <c r="C217" s="17" t="inlineStr">
        <is>
          <t>040141785435</t>
        </is>
      </c>
      <c r="D217" s="18" t="inlineStr">
        <is>
          <t>FORTMAGRI 1500MG 60 CPS (BERBERINA+FENO+MOROSIL+CROMO)</t>
        </is>
      </c>
      <c r="E217" s="18" t="inlineStr"/>
      <c r="F217" s="16" t="n">
        <v>1</v>
      </c>
      <c r="G217" s="13" t="n"/>
      <c r="H217" s="14" t="n"/>
      <c r="I217" s="5" t="n"/>
      <c r="J217" s="19">
        <f>IF(G217="","",F217*G217)</f>
        <v/>
      </c>
    </row>
    <row r="218">
      <c r="A218" s="10" t="n">
        <v>204</v>
      </c>
      <c r="B218" s="10" t="n">
        <v>25203</v>
      </c>
      <c r="C218" s="11" t="inlineStr">
        <is>
          <t>5000456096591</t>
        </is>
      </c>
      <c r="D218" s="12" t="inlineStr">
        <is>
          <t>FORXIGA 10MG 30CPR REV</t>
        </is>
      </c>
      <c r="E218" s="12" t="inlineStr"/>
      <c r="F218" s="10" t="n">
        <v>2</v>
      </c>
      <c r="G218" s="13" t="n"/>
      <c r="H218" s="14" t="n"/>
      <c r="I218" s="5" t="n"/>
      <c r="J218" s="15">
        <f>IF(G218="","",F218*G218)</f>
        <v/>
      </c>
    </row>
    <row r="219">
      <c r="A219" s="16" t="n">
        <v>205</v>
      </c>
      <c r="B219" s="16" t="n">
        <v>622611</v>
      </c>
      <c r="C219" s="17" t="inlineStr">
        <is>
          <t>5000456070423</t>
        </is>
      </c>
      <c r="D219" s="18" t="inlineStr">
        <is>
          <t>FORXIGA 10MG CX 30 COMP</t>
        </is>
      </c>
      <c r="E219" s="18" t="inlineStr">
        <is>
          <t>ASTRAZENECA</t>
        </is>
      </c>
      <c r="F219" s="16" t="n">
        <v>2</v>
      </c>
      <c r="G219" s="13" t="n"/>
      <c r="H219" s="14" t="n"/>
      <c r="I219" s="5" t="n"/>
      <c r="J219" s="19">
        <f>IF(G219="","",F219*G219)</f>
        <v/>
      </c>
    </row>
    <row r="220">
      <c r="A220" s="10" t="n">
        <v>206</v>
      </c>
      <c r="B220" s="10" t="n">
        <v>670571</v>
      </c>
      <c r="C220" s="11" t="inlineStr">
        <is>
          <t>7898216368037</t>
        </is>
      </c>
      <c r="D220" s="12" t="inlineStr">
        <is>
          <t>GARDENAL 100MG C/20 COMP (C1)-REFERENCIA</t>
        </is>
      </c>
      <c r="E220" s="12" t="inlineStr">
        <is>
          <t>SANOFI</t>
        </is>
      </c>
      <c r="F220" s="10" t="n">
        <v>2</v>
      </c>
      <c r="G220" s="13" t="n"/>
      <c r="H220" s="14" t="n"/>
      <c r="I220" s="5" t="n"/>
      <c r="J220" s="15">
        <f>IF(G220="","",F220*G220)</f>
        <v/>
      </c>
    </row>
    <row r="221">
      <c r="A221" s="16" t="n">
        <v>207</v>
      </c>
      <c r="B221" s="16" t="n">
        <v>661961</v>
      </c>
      <c r="C221" s="17" t="inlineStr">
        <is>
          <t>7908785422099</t>
        </is>
      </c>
      <c r="D221" s="18" t="inlineStr">
        <is>
          <t>GARNIER HID FACIAL 85G ANTIMANCHAS</t>
        </is>
      </c>
      <c r="E221" s="18" t="inlineStr">
        <is>
          <t>GARNIER</t>
        </is>
      </c>
      <c r="F221" s="16" t="n">
        <v>3</v>
      </c>
      <c r="G221" s="13" t="n"/>
      <c r="H221" s="14" t="n"/>
      <c r="I221" s="5" t="n"/>
      <c r="J221" s="19">
        <f>IF(G221="","",F221*G221)</f>
        <v/>
      </c>
    </row>
    <row r="222">
      <c r="A222" s="10" t="n">
        <v>208</v>
      </c>
      <c r="B222" s="10" t="n">
        <v>665861</v>
      </c>
      <c r="C222" s="11" t="inlineStr">
        <is>
          <t>7908785422150</t>
        </is>
      </c>
      <c r="D222" s="12" t="inlineStr">
        <is>
          <t>GARNIER HIDRAT FAC ANTISSINAIS 85G-DEMAIS PROD</t>
        </is>
      </c>
      <c r="E222" s="12" t="inlineStr">
        <is>
          <t>GARNIER</t>
        </is>
      </c>
      <c r="F222" s="10" t="n">
        <v>1</v>
      </c>
      <c r="G222" s="13" t="n"/>
      <c r="H222" s="14" t="n"/>
      <c r="I222" s="5" t="n"/>
      <c r="J222" s="15">
        <f>IF(G222="","",F222*G222)</f>
        <v/>
      </c>
    </row>
    <row r="223">
      <c r="A223" s="16" t="n">
        <v>209</v>
      </c>
      <c r="B223" s="16" t="n">
        <v>262441</v>
      </c>
      <c r="C223" s="17" t="inlineStr">
        <is>
          <t>7896094201248</t>
        </is>
      </c>
      <c r="D223" s="18" t="inlineStr">
        <is>
          <t>GESTINOL 0,075+0,030MG CX 28 COMP REV</t>
        </is>
      </c>
      <c r="E223" s="18" t="inlineStr">
        <is>
          <t>LIBBS</t>
        </is>
      </c>
      <c r="F223" s="16" t="n">
        <v>1</v>
      </c>
      <c r="G223" s="13" t="n"/>
      <c r="H223" s="14" t="n"/>
      <c r="I223" s="5" t="n"/>
      <c r="J223" s="19">
        <f>IF(G223="","",F223*G223)</f>
        <v/>
      </c>
    </row>
    <row r="224">
      <c r="A224" s="10" t="n">
        <v>210</v>
      </c>
      <c r="B224" s="10" t="n">
        <v>635741</v>
      </c>
      <c r="C224" s="11" t="inlineStr">
        <is>
          <t>7891106916059</t>
        </is>
      </c>
      <c r="D224" s="12" t="inlineStr">
        <is>
          <t>GINO CANESTEN 1 500MG 1COMP+APL-REFERENCIA</t>
        </is>
      </c>
      <c r="E224" s="12" t="inlineStr">
        <is>
          <t>BAYER</t>
        </is>
      </c>
      <c r="F224" s="10" t="n">
        <v>2</v>
      </c>
      <c r="G224" s="13" t="n"/>
      <c r="H224" s="14" t="n"/>
      <c r="I224" s="5" t="n"/>
      <c r="J224" s="15">
        <f>IF(G224="","",F224*G224)</f>
        <v/>
      </c>
    </row>
    <row r="225">
      <c r="A225" s="16" t="n">
        <v>211</v>
      </c>
      <c r="B225" s="16" t="n">
        <v>189141</v>
      </c>
      <c r="C225" s="17" t="inlineStr">
        <is>
          <t>7891106003230</t>
        </is>
      </c>
      <c r="D225" s="18" t="inlineStr">
        <is>
          <t>GINO CANESTEN 20 MG/G CREME VAG BG 20G+3APLIC</t>
        </is>
      </c>
      <c r="E225" s="18" t="inlineStr">
        <is>
          <t>BAYER</t>
        </is>
      </c>
      <c r="F225" s="16" t="n">
        <v>3</v>
      </c>
      <c r="G225" s="13" t="n"/>
      <c r="H225" s="14" t="n"/>
      <c r="I225" s="5" t="n"/>
      <c r="J225" s="19">
        <f>IF(G225="","",F225*G225)</f>
        <v/>
      </c>
    </row>
    <row r="226">
      <c r="A226" s="10" t="n">
        <v>212</v>
      </c>
      <c r="B226" s="10" t="n">
        <v>672581</v>
      </c>
      <c r="C226" s="11" t="inlineStr">
        <is>
          <t>7891106916561</t>
        </is>
      </c>
      <c r="D226" s="12" t="inlineStr">
        <is>
          <t>GINO CANESTEN PURO CUIDADO 200ML-DEMAIS PROD</t>
        </is>
      </c>
      <c r="E226" s="12" t="inlineStr">
        <is>
          <t>BAYER S.A.</t>
        </is>
      </c>
      <c r="F226" s="10" t="n">
        <v>1</v>
      </c>
      <c r="G226" s="13" t="n"/>
      <c r="H226" s="14" t="n"/>
      <c r="I226" s="5" t="n"/>
      <c r="J226" s="15">
        <f>IF(G226="","",F226*G226)</f>
        <v/>
      </c>
    </row>
    <row r="227">
      <c r="A227" s="16" t="n">
        <v>213</v>
      </c>
      <c r="B227" s="16" t="n">
        <v>672591</v>
      </c>
      <c r="C227" s="17" t="inlineStr">
        <is>
          <t>7891106916554</t>
        </is>
      </c>
      <c r="D227" s="18" t="inlineStr">
        <is>
          <t>GINO CANESTEN TRI CUIDADO 200ML-DEMAIS PROD</t>
        </is>
      </c>
      <c r="E227" s="18" t="inlineStr">
        <is>
          <t>BAYER</t>
        </is>
      </c>
      <c r="F227" s="16" t="n">
        <v>1</v>
      </c>
      <c r="G227" s="13" t="n"/>
      <c r="H227" s="14" t="n"/>
      <c r="I227" s="5" t="n"/>
      <c r="J227" s="19">
        <f>IF(G227="","",F227*G227)</f>
        <v/>
      </c>
    </row>
    <row r="228">
      <c r="A228" s="10" t="n">
        <v>214</v>
      </c>
      <c r="B228" s="10" t="n">
        <v>156321</v>
      </c>
      <c r="C228" s="11" t="inlineStr">
        <is>
          <t>7891721201530</t>
        </is>
      </c>
      <c r="D228" s="12" t="inlineStr">
        <is>
          <t>GLIFAGE XR 850MG CX 30 COMP LIB PROL</t>
        </is>
      </c>
      <c r="E228" s="12" t="inlineStr">
        <is>
          <t>MERCK</t>
        </is>
      </c>
      <c r="F228" s="10" t="n">
        <v>7</v>
      </c>
      <c r="G228" s="13" t="n"/>
      <c r="H228" s="14" t="n"/>
      <c r="I228" s="5" t="n"/>
      <c r="J228" s="15">
        <f>IF(G228="","",F228*G228)</f>
        <v/>
      </c>
    </row>
    <row r="229">
      <c r="A229" s="16" t="n">
        <v>215</v>
      </c>
      <c r="B229" s="16" t="n">
        <v>651371</v>
      </c>
      <c r="C229" s="17" t="inlineStr">
        <is>
          <t>7908615088945</t>
        </is>
      </c>
      <c r="D229" s="18" t="inlineStr">
        <is>
          <t>GLYCOLIC BRIGHT CLEANSER 150G-DEMAIS PROD</t>
        </is>
      </c>
      <c r="E229" s="18" t="inlineStr">
        <is>
          <t>LOREAL</t>
        </is>
      </c>
      <c r="F229" s="16" t="n">
        <v>1</v>
      </c>
      <c r="G229" s="13" t="n"/>
      <c r="H229" s="14" t="n"/>
      <c r="I229" s="5" t="n"/>
      <c r="J229" s="19">
        <f>IF(G229="","",F229*G229)</f>
        <v/>
      </c>
    </row>
    <row r="230">
      <c r="A230" s="10" t="n">
        <v>216</v>
      </c>
      <c r="B230" s="10" t="n">
        <v>595291</v>
      </c>
      <c r="C230" s="11" t="inlineStr">
        <is>
          <t>7898495609289</t>
        </is>
      </c>
      <c r="D230" s="12" t="inlineStr">
        <is>
          <t>GROW CALCIO 150ML + SER DOS</t>
        </is>
      </c>
      <c r="E230" s="12" t="inlineStr">
        <is>
          <t>CIFARMA CIENTIFICA FARMACEUTICA</t>
        </is>
      </c>
      <c r="F230" s="10" t="n">
        <v>1</v>
      </c>
      <c r="G230" s="13" t="n"/>
      <c r="H230" s="14" t="n"/>
      <c r="I230" s="5" t="n"/>
      <c r="J230" s="15">
        <f>IF(G230="","",F230*G230)</f>
        <v/>
      </c>
    </row>
    <row r="231">
      <c r="A231" s="10" t="n">
        <v>217</v>
      </c>
      <c r="B231" s="10" t="n">
        <v>595291</v>
      </c>
      <c r="C231" s="11" t="inlineStr">
        <is>
          <t>7908020507505</t>
        </is>
      </c>
      <c r="D231" s="12" t="inlineStr">
        <is>
          <t>GROW CALCIO 150ML + SER DOS</t>
        </is>
      </c>
      <c r="E231" s="12" t="inlineStr">
        <is>
          <t>CIFARMA CIENTIFICA FARMACEUTICA</t>
        </is>
      </c>
      <c r="F231" s="10" t="n">
        <v>1</v>
      </c>
      <c r="G231" s="13" t="n"/>
      <c r="H231" s="14" t="n"/>
      <c r="I231" s="5" t="n"/>
      <c r="J231" s="15">
        <f>IF(G231="","",F231*G231)</f>
        <v/>
      </c>
    </row>
    <row r="232">
      <c r="A232" s="16" t="n">
        <v>218</v>
      </c>
      <c r="B232" s="16" t="n">
        <v>627211</v>
      </c>
      <c r="C232" s="17" t="inlineStr">
        <is>
          <t>7908020501435</t>
        </is>
      </c>
      <c r="D232" s="18" t="inlineStr">
        <is>
          <t>GROW D 10ML-DEMAIS PROD</t>
        </is>
      </c>
      <c r="E232" s="18" t="inlineStr">
        <is>
          <t>CIFARMA</t>
        </is>
      </c>
      <c r="F232" s="16" t="n">
        <v>1</v>
      </c>
      <c r="G232" s="13" t="n"/>
      <c r="H232" s="14" t="n"/>
      <c r="I232" s="5" t="n"/>
      <c r="J232" s="19">
        <f>IF(G232="","",F232*G232)</f>
        <v/>
      </c>
    </row>
    <row r="233">
      <c r="A233" s="10" t="n">
        <v>219</v>
      </c>
      <c r="B233" s="10" t="n">
        <v>559601</v>
      </c>
      <c r="C233" s="11" t="inlineStr">
        <is>
          <t>7898495609326</t>
        </is>
      </c>
      <c r="D233" s="12" t="inlineStr">
        <is>
          <t>GROW VIT BB C/20ML (CFE)</t>
        </is>
      </c>
      <c r="E233" s="12" t="inlineStr">
        <is>
          <t>CIFARMA CIENTIFICA FARMACEUTICA</t>
        </is>
      </c>
      <c r="F233" s="10" t="n">
        <v>1</v>
      </c>
      <c r="G233" s="13" t="n"/>
      <c r="H233" s="14" t="n"/>
      <c r="I233" s="5" t="n"/>
      <c r="J233" s="15">
        <f>IF(G233="","",F233*G233)</f>
        <v/>
      </c>
    </row>
    <row r="234">
      <c r="A234" s="16" t="n">
        <v>220</v>
      </c>
      <c r="B234" s="16" t="n">
        <v>626321</v>
      </c>
      <c r="C234" s="17" t="inlineStr">
        <is>
          <t>7898040325008</t>
        </is>
      </c>
      <c r="D234" s="18" t="inlineStr">
        <is>
          <t>HIDRAFEMME GEL 24G C/ 8 APLIC</t>
        </is>
      </c>
      <c r="E234" s="18" t="inlineStr">
        <is>
          <t>FQM/FARMA</t>
        </is>
      </c>
      <c r="F234" s="16" t="n">
        <v>1</v>
      </c>
      <c r="G234" s="13" t="n"/>
      <c r="H234" s="14" t="n"/>
      <c r="I234" s="5" t="n"/>
      <c r="J234" s="19">
        <f>IF(G234="","",F234*G234)</f>
        <v/>
      </c>
    </row>
    <row r="235">
      <c r="A235" s="10" t="n">
        <v>221</v>
      </c>
      <c r="B235" s="10" t="n">
        <v>619571</v>
      </c>
      <c r="C235" s="11" t="inlineStr">
        <is>
          <t>4005900163875</t>
        </is>
      </c>
      <c r="D235" s="12" t="inlineStr">
        <is>
          <t>HIDRAT NIVEA ANTIC PERNAS RENOV 400ML   NIVE %DN:2.00</t>
        </is>
      </c>
      <c r="E235" s="12" t="inlineStr">
        <is>
          <t>NIVEA</t>
        </is>
      </c>
      <c r="F235" s="10" t="n">
        <v>1</v>
      </c>
      <c r="G235" s="13" t="n"/>
      <c r="H235" s="14" t="n"/>
      <c r="I235" s="5" t="n"/>
      <c r="J235" s="15">
        <f>IF(G235="","",F235*G235)</f>
        <v/>
      </c>
    </row>
    <row r="236">
      <c r="A236" s="16" t="n">
        <v>222</v>
      </c>
      <c r="B236" s="16" t="n">
        <v>554181</v>
      </c>
      <c r="C236" s="17" t="inlineStr">
        <is>
          <t>7891010249953</t>
        </is>
      </c>
      <c r="D236" s="18" t="inlineStr">
        <is>
          <t>HIPOGLOS AMENDOAS 40G</t>
        </is>
      </c>
      <c r="E236" s="18" t="inlineStr">
        <is>
          <t>JOHNSON    JOHNSON</t>
        </is>
      </c>
      <c r="F236" s="16" t="n">
        <v>3</v>
      </c>
      <c r="G236" s="13" t="n"/>
      <c r="H236" s="14" t="n"/>
      <c r="I236" s="5" t="n"/>
      <c r="J236" s="19">
        <f>IF(G236="","",F236*G236)</f>
        <v/>
      </c>
    </row>
    <row r="237">
      <c r="A237" s="10" t="n">
        <v>223</v>
      </c>
      <c r="B237" s="10" t="n">
        <v>621551</v>
      </c>
      <c r="C237" s="11" t="inlineStr">
        <is>
          <t>7891010255763</t>
        </is>
      </c>
      <c r="D237" s="12" t="inlineStr">
        <is>
          <t>HIPOGLOS ORIGINAL 40G</t>
        </is>
      </c>
      <c r="E237" s="12" t="inlineStr">
        <is>
          <t>JOHNSON    JOHNSON</t>
        </is>
      </c>
      <c r="F237" s="10" t="n">
        <v>5</v>
      </c>
      <c r="G237" s="13" t="n"/>
      <c r="H237" s="14" t="n"/>
      <c r="I237" s="5" t="n"/>
      <c r="J237" s="15">
        <f>IF(G237="","",F237*G237)</f>
        <v/>
      </c>
    </row>
    <row r="238">
      <c r="A238" s="16" t="n">
        <v>224</v>
      </c>
      <c r="B238" s="16" t="n">
        <v>406261</v>
      </c>
      <c r="C238" s="17" t="inlineStr">
        <is>
          <t>7897411601567</t>
        </is>
      </c>
      <c r="D238" s="18" t="inlineStr">
        <is>
          <t>HIRUDOID 5MG/G POM BG X 40G</t>
        </is>
      </c>
      <c r="E238" s="18" t="inlineStr">
        <is>
          <t>DAIICHI SANKYO</t>
        </is>
      </c>
      <c r="F238" s="16" t="n">
        <v>1</v>
      </c>
      <c r="G238" s="13" t="n"/>
      <c r="H238" s="14" t="n"/>
      <c r="I238" s="5" t="n"/>
      <c r="J238" s="19">
        <f>IF(G238="","",F238*G238)</f>
        <v/>
      </c>
    </row>
    <row r="239">
      <c r="A239" s="10" t="n">
        <v>225</v>
      </c>
      <c r="B239" s="10" t="n">
        <v>623001</v>
      </c>
      <c r="C239" s="11" t="inlineStr">
        <is>
          <t>5702191025620</t>
        </is>
      </c>
      <c r="D239" s="12" t="inlineStr">
        <is>
          <t>ICADEN 10MG/G CREM DERM BG 20G</t>
        </is>
      </c>
      <c r="E239" s="12" t="inlineStr">
        <is>
          <t>LEO PHARMA</t>
        </is>
      </c>
      <c r="F239" s="10" t="n">
        <v>8</v>
      </c>
      <c r="G239" s="13" t="n"/>
      <c r="H239" s="14" t="n"/>
      <c r="I239" s="5" t="n"/>
      <c r="J239" s="15">
        <f>IF(G239="","",F239*G239)</f>
        <v/>
      </c>
    </row>
    <row r="240">
      <c r="A240" s="16" t="n">
        <v>226</v>
      </c>
      <c r="B240" s="16" t="n">
        <v>572741</v>
      </c>
      <c r="C240" s="17" t="inlineStr">
        <is>
          <t>7898495609364</t>
        </is>
      </c>
      <c r="D240" s="18" t="inlineStr">
        <is>
          <t>IMOLAC 120ML</t>
        </is>
      </c>
      <c r="E240" s="18" t="inlineStr">
        <is>
          <t>CIFARMA CIENTIFICA FARMACEUTICA</t>
        </is>
      </c>
      <c r="F240" s="16" t="n">
        <v>1</v>
      </c>
      <c r="G240" s="13" t="n"/>
      <c r="H240" s="14" t="n"/>
      <c r="I240" s="5" t="n"/>
      <c r="J240" s="19">
        <f>IF(G240="","",F240*G240)</f>
        <v/>
      </c>
    </row>
    <row r="241">
      <c r="A241" s="10" t="n">
        <v>227</v>
      </c>
      <c r="B241" s="10" t="n">
        <v>592811</v>
      </c>
      <c r="C241" s="11" t="inlineStr">
        <is>
          <t>7898495609487</t>
        </is>
      </c>
      <c r="D241" s="12" t="inlineStr">
        <is>
          <t>IMOLAC SOL C/200ML+COP (CFE)</t>
        </is>
      </c>
      <c r="E241" s="12" t="inlineStr">
        <is>
          <t>CIFARMA CIENTIFICA FARMACEUTICA</t>
        </is>
      </c>
      <c r="F241" s="10" t="n">
        <v>1</v>
      </c>
      <c r="G241" s="13" t="n"/>
      <c r="H241" s="14" t="n"/>
      <c r="I241" s="5" t="n"/>
      <c r="J241" s="15">
        <f>IF(G241="","",F241*G241)</f>
        <v/>
      </c>
    </row>
    <row r="242">
      <c r="A242" s="16" t="n">
        <v>228</v>
      </c>
      <c r="B242" s="16" t="n">
        <v>153101</v>
      </c>
      <c r="C242" s="17" t="inlineStr">
        <is>
          <t>7896212478750</t>
        </is>
      </c>
      <c r="D242" s="18" t="inlineStr">
        <is>
          <t>IMOSEC 2MG CX 12 COMP</t>
        </is>
      </c>
      <c r="E242" s="18" t="inlineStr">
        <is>
          <t>JOHNSON &amp; JOHNSON</t>
        </is>
      </c>
      <c r="F242" s="16" t="n">
        <v>46</v>
      </c>
      <c r="G242" s="13" t="n"/>
      <c r="H242" s="14" t="n"/>
      <c r="I242" s="5" t="n"/>
      <c r="J242" s="19">
        <f>IF(G242="","",F242*G242)</f>
        <v/>
      </c>
    </row>
    <row r="243">
      <c r="A243" s="16" t="n">
        <v>229</v>
      </c>
      <c r="B243" s="16" t="n">
        <v>153101</v>
      </c>
      <c r="C243" s="17" t="inlineStr">
        <is>
          <t>7891010256364</t>
        </is>
      </c>
      <c r="D243" s="18" t="inlineStr">
        <is>
          <t>IMOSEC 2MG CX 12 COMP</t>
        </is>
      </c>
      <c r="E243" s="18" t="inlineStr">
        <is>
          <t>JOHNSON &amp; JOHNSON</t>
        </is>
      </c>
      <c r="F243" s="16" t="n">
        <v>46</v>
      </c>
      <c r="G243" s="13" t="n"/>
      <c r="H243" s="14" t="n"/>
      <c r="I243" s="5" t="n"/>
      <c r="J243" s="19">
        <f>IF(G243="","",F243*G243)</f>
        <v/>
      </c>
    </row>
    <row r="244">
      <c r="A244" s="10" t="n">
        <v>230</v>
      </c>
      <c r="B244" s="10" t="n">
        <v>389621</v>
      </c>
      <c r="C244" s="11" t="inlineStr">
        <is>
          <t>7896637031509</t>
        </is>
      </c>
      <c r="D244" s="12" t="inlineStr">
        <is>
          <t>INILOK 40MG CX 30 COMP</t>
        </is>
      </c>
      <c r="E244" s="12" t="inlineStr">
        <is>
          <t>APSEN</t>
        </is>
      </c>
      <c r="F244" s="10" t="n">
        <v>8</v>
      </c>
      <c r="G244" s="13" t="n"/>
      <c r="H244" s="14" t="n"/>
      <c r="I244" s="5" t="n"/>
      <c r="J244" s="15">
        <f>IF(G244="","",F244*G244)</f>
        <v/>
      </c>
    </row>
    <row r="245">
      <c r="A245" s="16" t="n">
        <v>231</v>
      </c>
      <c r="B245" s="16" t="n">
        <v>240081</v>
      </c>
      <c r="C245" s="17" t="inlineStr">
        <is>
          <t>7896094208094</t>
        </is>
      </c>
      <c r="D245" s="18" t="inlineStr">
        <is>
          <t>IUMI 3+0,02MG CX 24 COMP REV</t>
        </is>
      </c>
      <c r="E245" s="18" t="inlineStr">
        <is>
          <t>LIBBS</t>
        </is>
      </c>
      <c r="F245" s="16" t="n">
        <v>5</v>
      </c>
      <c r="G245" s="13" t="n"/>
      <c r="H245" s="14" t="n"/>
      <c r="I245" s="5" t="n"/>
      <c r="J245" s="19">
        <f>IF(G245="","",F245*G245)</f>
        <v/>
      </c>
    </row>
    <row r="246">
      <c r="A246" s="10" t="n">
        <v>232</v>
      </c>
      <c r="B246" s="10" t="n">
        <v>239381</v>
      </c>
      <c r="C246" s="11" t="inlineStr">
        <is>
          <t>7896094208674</t>
        </is>
      </c>
      <c r="D246" s="12" t="inlineStr">
        <is>
          <t>IUMI 3/0,02MG CAIXA C/ 3 CARTELAS 24 COMP REV</t>
        </is>
      </c>
      <c r="E246" s="12" t="inlineStr">
        <is>
          <t>LIBBS</t>
        </is>
      </c>
      <c r="F246" s="10" t="n">
        <v>1</v>
      </c>
      <c r="G246" s="13" t="n"/>
      <c r="H246" s="14" t="n"/>
      <c r="I246" s="5" t="n"/>
      <c r="J246" s="15">
        <f>IF(G246="","",F246*G246)</f>
        <v/>
      </c>
    </row>
    <row r="247">
      <c r="A247" s="16" t="n">
        <v>233</v>
      </c>
      <c r="B247" s="16" t="n">
        <v>645701</v>
      </c>
      <c r="C247" s="17" t="inlineStr">
        <is>
          <t>7891317028794</t>
        </is>
      </c>
      <c r="D247" s="18" t="inlineStr">
        <is>
          <t>KETTO 10MG FR 10 COMP</t>
        </is>
      </c>
      <c r="E247" s="18" t="inlineStr">
        <is>
          <t>MOMENTA</t>
        </is>
      </c>
      <c r="F247" s="16" t="n">
        <v>1</v>
      </c>
      <c r="G247" s="13" t="n"/>
      <c r="H247" s="14" t="n"/>
      <c r="I247" s="5" t="n"/>
      <c r="J247" s="19">
        <f>IF(G247="","",F247*G247)</f>
        <v/>
      </c>
    </row>
    <row r="248">
      <c r="A248" s="10" t="n">
        <v>234</v>
      </c>
      <c r="B248" s="10" t="n">
        <v>615181</v>
      </c>
      <c r="C248" s="11" t="inlineStr">
        <is>
          <t>3282779340847</t>
        </is>
      </c>
      <c r="D248" s="12" t="inlineStr">
        <is>
          <t>KIT ACTINE GEL 140G+ACTINE GEL 40G</t>
        </is>
      </c>
      <c r="E248" s="12" t="inlineStr">
        <is>
          <t>LABORATORIOS PIERRE</t>
        </is>
      </c>
      <c r="F248" s="10" t="n">
        <v>4</v>
      </c>
      <c r="G248" s="13" t="n"/>
      <c r="H248" s="14" t="n"/>
      <c r="I248" s="5" t="n"/>
      <c r="J248" s="15">
        <f>IF(G248="","",F248*G248)</f>
        <v/>
      </c>
    </row>
    <row r="249">
      <c r="A249" s="16" t="n">
        <v>235</v>
      </c>
      <c r="B249" s="16" t="n">
        <v>646621</v>
      </c>
      <c r="C249" s="17" t="inlineStr">
        <is>
          <t>7898301056726</t>
        </is>
      </c>
      <c r="D249" s="18" t="inlineStr">
        <is>
          <t>KIT MEDIDOR DE GLICOSE G-TECH FREE 1</t>
        </is>
      </c>
      <c r="E249" s="18" t="inlineStr">
        <is>
          <t>G-TECH</t>
        </is>
      </c>
      <c r="F249" s="16" t="n">
        <v>10</v>
      </c>
      <c r="G249" s="13" t="n"/>
      <c r="H249" s="14" t="n"/>
      <c r="I249" s="5" t="n"/>
      <c r="J249" s="19">
        <f>IF(G249="","",F249*G249)</f>
        <v/>
      </c>
    </row>
    <row r="250">
      <c r="A250" s="10" t="n">
        <v>236</v>
      </c>
      <c r="B250" s="10" t="n">
        <v>619221</v>
      </c>
      <c r="C250" s="11" t="inlineStr">
        <is>
          <t>7898301059666</t>
        </is>
      </c>
      <c r="D250" s="12" t="inlineStr">
        <is>
          <t>KIT MEDIDOR DE GLICOSE LITE - COMPLETO</t>
        </is>
      </c>
      <c r="E250" s="12" t="inlineStr">
        <is>
          <t>G-TECH</t>
        </is>
      </c>
      <c r="F250" s="10" t="n">
        <v>4</v>
      </c>
      <c r="G250" s="13" t="n"/>
      <c r="H250" s="14" t="n"/>
      <c r="I250" s="5" t="n"/>
      <c r="J250" s="15">
        <f>IF(G250="","",F250*G250)</f>
        <v/>
      </c>
    </row>
    <row r="251">
      <c r="A251" s="16" t="n">
        <v>237</v>
      </c>
      <c r="B251" s="16" t="n">
        <v>556341</v>
      </c>
      <c r="C251" s="17" t="inlineStr">
        <is>
          <t>7891317015060</t>
        </is>
      </c>
      <c r="D251" s="18" t="inlineStr">
        <is>
          <t>KOIDE D 0,25MG/5ML+2 MG/5ML XPE FR 120ML+CP MED</t>
        </is>
      </c>
      <c r="E251" s="18" t="inlineStr">
        <is>
          <t>MOMENTA</t>
        </is>
      </c>
      <c r="F251" s="16" t="n">
        <v>2</v>
      </c>
      <c r="G251" s="13" t="n"/>
      <c r="H251" s="14" t="n"/>
      <c r="I251" s="5" t="n"/>
      <c r="J251" s="19">
        <f>IF(G251="","",F251*G251)</f>
        <v/>
      </c>
    </row>
    <row r="252">
      <c r="A252" s="10" t="n">
        <v>238</v>
      </c>
      <c r="B252" s="10" t="n">
        <v>582461</v>
      </c>
      <c r="C252" s="11" t="inlineStr">
        <is>
          <t>4005900663993</t>
        </is>
      </c>
      <c r="D252" s="12" t="inlineStr">
        <is>
          <t>LABIAL NIVEA CEREJA SHINE 4,8G</t>
        </is>
      </c>
      <c r="E252" s="12" t="inlineStr">
        <is>
          <t>NIVEA</t>
        </is>
      </c>
      <c r="F252" s="10" t="n">
        <v>4</v>
      </c>
      <c r="G252" s="13" t="n"/>
      <c r="H252" s="14" t="n"/>
      <c r="I252" s="5" t="n"/>
      <c r="J252" s="15">
        <f>IF(G252="","",F252*G252)</f>
        <v/>
      </c>
    </row>
    <row r="253">
      <c r="A253" s="16" t="n">
        <v>239</v>
      </c>
      <c r="B253" s="16" t="n">
        <v>621481</v>
      </c>
      <c r="C253" s="17" t="inlineStr">
        <is>
          <t>4005900921598</t>
        </is>
      </c>
      <c r="D253" s="18" t="inlineStr">
        <is>
          <t>LABIAL NIVEA ROSA PINK 4,8G</t>
        </is>
      </c>
      <c r="E253" s="18" t="inlineStr">
        <is>
          <t>NIVEA</t>
        </is>
      </c>
      <c r="F253" s="16" t="n">
        <v>1</v>
      </c>
      <c r="G253" s="13" t="n"/>
      <c r="H253" s="14" t="n"/>
      <c r="I253" s="5" t="n"/>
      <c r="J253" s="19">
        <f>IF(G253="","",F253*G253)</f>
        <v/>
      </c>
    </row>
    <row r="254">
      <c r="A254" s="10" t="n">
        <v>240</v>
      </c>
      <c r="B254" s="10" t="n">
        <v>594301</v>
      </c>
      <c r="C254" s="11" t="inlineStr">
        <is>
          <t>7890704851335</t>
        </is>
      </c>
      <c r="D254" s="12" t="inlineStr">
        <is>
          <t>LABIAL NIVEA SUN 4,8G</t>
        </is>
      </c>
      <c r="E254" s="12" t="inlineStr">
        <is>
          <t>NIVEA</t>
        </is>
      </c>
      <c r="F254" s="10" t="n">
        <v>1</v>
      </c>
      <c r="G254" s="13" t="n"/>
      <c r="H254" s="14" t="n"/>
      <c r="I254" s="5" t="n"/>
      <c r="J254" s="15">
        <f>IF(G254="","",F254*G254)</f>
        <v/>
      </c>
    </row>
    <row r="255">
      <c r="A255" s="16" t="n">
        <v>241</v>
      </c>
      <c r="B255" s="16" t="n">
        <v>129021</v>
      </c>
      <c r="C255" s="17" t="inlineStr">
        <is>
          <t>7896637028523</t>
        </is>
      </c>
      <c r="D255" s="18" t="inlineStr">
        <is>
          <t>LABIRIN 24MG CX 30 COMP</t>
        </is>
      </c>
      <c r="E255" s="18" t="inlineStr">
        <is>
          <t>APSEN</t>
        </is>
      </c>
      <c r="F255" s="16" t="n">
        <v>7</v>
      </c>
      <c r="G255" s="13" t="n"/>
      <c r="H255" s="14" t="n"/>
      <c r="I255" s="5" t="n"/>
      <c r="J255" s="19">
        <f>IF(G255="","",F255*G255)</f>
        <v/>
      </c>
    </row>
    <row r="256">
      <c r="A256" s="10" t="n">
        <v>242</v>
      </c>
      <c r="B256" s="10" t="n">
        <v>310061</v>
      </c>
      <c r="C256" s="11" t="inlineStr">
        <is>
          <t>7897411610750</t>
        </is>
      </c>
      <c r="D256" s="12" t="inlineStr">
        <is>
          <t>LACTULONA 667MG/ML XPE FR 120ML SB AMEIXA</t>
        </is>
      </c>
      <c r="E256" s="12" t="inlineStr">
        <is>
          <t>DAIICHI SANKYO</t>
        </is>
      </c>
      <c r="F256" s="10" t="n">
        <v>3</v>
      </c>
      <c r="G256" s="13" t="n"/>
      <c r="H256" s="14" t="n"/>
      <c r="I256" s="5" t="n"/>
      <c r="J256" s="15">
        <f>IF(G256="","",F256*G256)</f>
        <v/>
      </c>
    </row>
    <row r="257">
      <c r="A257" s="16" t="n">
        <v>243</v>
      </c>
      <c r="B257" s="16" t="n">
        <v>555341</v>
      </c>
      <c r="C257" s="17" t="inlineStr">
        <is>
          <t>7898949409458</t>
        </is>
      </c>
      <c r="D257" s="18" t="inlineStr">
        <is>
          <t>LAKESIA GENOMMA CAIXA 30ML SOLUÇÃO ANTIMICÓTICA</t>
        </is>
      </c>
      <c r="E257" s="18" t="inlineStr">
        <is>
          <t>PADRAO</t>
        </is>
      </c>
      <c r="F257" s="16" t="n">
        <v>2</v>
      </c>
      <c r="G257" s="13" t="n"/>
      <c r="H257" s="14" t="n"/>
      <c r="I257" s="5" t="n"/>
      <c r="J257" s="19">
        <f>IF(G257="","",F257*G257)</f>
        <v/>
      </c>
    </row>
    <row r="258">
      <c r="A258" s="10" t="n">
        <v>244</v>
      </c>
      <c r="B258" s="10" t="n">
        <v>1183</v>
      </c>
      <c r="C258" s="11" t="inlineStr">
        <is>
          <t>7898639691965</t>
        </is>
      </c>
      <c r="D258" s="12" t="inlineStr">
        <is>
          <t>LANCETAS PARA LANCETADOR 30G C/50 UND</t>
        </is>
      </c>
      <c r="E258" s="12" t="inlineStr">
        <is>
          <t>G-TECH</t>
        </is>
      </c>
      <c r="F258" s="10" t="n">
        <v>1</v>
      </c>
      <c r="G258" s="13" t="n"/>
      <c r="H258" s="14" t="n"/>
      <c r="I258" s="5" t="n"/>
      <c r="J258" s="15">
        <f>IF(G258="","",F258*G258)</f>
        <v/>
      </c>
    </row>
    <row r="259">
      <c r="A259" s="16" t="n">
        <v>245</v>
      </c>
      <c r="B259" s="16" t="n">
        <v>655561</v>
      </c>
      <c r="C259" s="17" t="inlineStr">
        <is>
          <t>7891317029869</t>
        </is>
      </c>
      <c r="D259" s="18" t="inlineStr">
        <is>
          <t>LARC 500MG C/14 COMP-SIMILAR</t>
        </is>
      </c>
      <c r="E259" s="18" t="inlineStr">
        <is>
          <t>MOMENTA</t>
        </is>
      </c>
      <c r="F259" s="16" t="n">
        <v>2</v>
      </c>
      <c r="G259" s="13" t="n"/>
      <c r="H259" s="14" t="n"/>
      <c r="I259" s="5" t="n"/>
      <c r="J259" s="19">
        <f>IF(G259="","",F259*G259)</f>
        <v/>
      </c>
    </row>
    <row r="260">
      <c r="A260" s="10" t="n">
        <v>246</v>
      </c>
      <c r="B260" s="10" t="n">
        <v>671941</v>
      </c>
      <c r="C260" s="11" t="inlineStr">
        <is>
          <t>7891317040949</t>
        </is>
      </c>
      <c r="D260" s="12" t="inlineStr">
        <is>
          <t>LARC 600MG C/14 COMP REV-SIMILAR</t>
        </is>
      </c>
      <c r="E260" s="12" t="inlineStr">
        <is>
          <t>MOMENTA</t>
        </is>
      </c>
      <c r="F260" s="10" t="n">
        <v>2</v>
      </c>
      <c r="G260" s="13" t="n"/>
      <c r="H260" s="14" t="n"/>
      <c r="I260" s="5" t="n"/>
      <c r="J260" s="15">
        <f>IF(G260="","",F260*G260)</f>
        <v/>
      </c>
    </row>
    <row r="261">
      <c r="A261" s="16" t="n">
        <v>247</v>
      </c>
      <c r="B261" s="16" t="n">
        <v>434101</v>
      </c>
      <c r="C261" s="17" t="inlineStr">
        <is>
          <t>7898560664373</t>
        </is>
      </c>
      <c r="D261" s="18" t="inlineStr">
        <is>
          <t>LEGALON 64MG/5ML SUS OR FR 100ML</t>
        </is>
      </c>
      <c r="E261" s="18" t="inlineStr">
        <is>
          <t>VIATRIS</t>
        </is>
      </c>
      <c r="F261" s="16" t="n">
        <v>1</v>
      </c>
      <c r="G261" s="13" t="n"/>
      <c r="H261" s="14" t="n"/>
      <c r="I261" s="5" t="n"/>
      <c r="J261" s="19">
        <f>IF(G261="","",F261*G261)</f>
        <v/>
      </c>
    </row>
    <row r="262">
      <c r="A262" s="10" t="n">
        <v>248</v>
      </c>
      <c r="B262" s="10" t="n">
        <v>651991</v>
      </c>
      <c r="C262" s="11" t="inlineStr">
        <is>
          <t>7895858015664</t>
        </is>
      </c>
      <c r="D262" s="12" t="inlineStr">
        <is>
          <t>LEITE DE MAGNESIA PHILLIPS HORT 120ML</t>
        </is>
      </c>
      <c r="E262" s="12" t="inlineStr"/>
      <c r="F262" s="10" t="n">
        <v>4</v>
      </c>
      <c r="G262" s="13" t="n"/>
      <c r="H262" s="14" t="n"/>
      <c r="I262" s="5" t="n"/>
      <c r="J262" s="15">
        <f>IF(G262="","",F262*G262)</f>
        <v/>
      </c>
    </row>
    <row r="263">
      <c r="A263" s="16" t="n">
        <v>249</v>
      </c>
      <c r="B263" s="16" t="n">
        <v>539621</v>
      </c>
      <c r="C263" s="17" t="inlineStr">
        <is>
          <t>7895858015688</t>
        </is>
      </c>
      <c r="D263" s="18" t="inlineStr">
        <is>
          <t>LEITE MAGNESIA PHIL C/120ML</t>
        </is>
      </c>
      <c r="E263" s="18" t="inlineStr">
        <is>
          <t>ASPEN</t>
        </is>
      </c>
      <c r="F263" s="16" t="n">
        <v>17</v>
      </c>
      <c r="G263" s="13" t="n"/>
      <c r="H263" s="14" t="n"/>
      <c r="I263" s="5" t="n"/>
      <c r="J263" s="19">
        <f>IF(G263="","",F263*G263)</f>
        <v/>
      </c>
    </row>
    <row r="264">
      <c r="A264" s="10" t="n">
        <v>250</v>
      </c>
      <c r="B264" s="10" t="n">
        <v>560961</v>
      </c>
      <c r="C264" s="11" t="inlineStr">
        <is>
          <t>7895858015695</t>
        </is>
      </c>
      <c r="D264" s="12" t="inlineStr">
        <is>
          <t>LEITE MAGNESIA PHILL 350ML</t>
        </is>
      </c>
      <c r="E264" s="12" t="inlineStr">
        <is>
          <t>ASPEN</t>
        </is>
      </c>
      <c r="F264" s="10" t="n">
        <v>5</v>
      </c>
      <c r="G264" s="13" t="n"/>
      <c r="H264" s="14" t="n"/>
      <c r="I264" s="5" t="n"/>
      <c r="J264" s="15">
        <f>IF(G264="","",F264*G264)</f>
        <v/>
      </c>
    </row>
    <row r="265">
      <c r="A265" s="16" t="n">
        <v>251</v>
      </c>
      <c r="B265" s="16" t="n">
        <v>463241</v>
      </c>
      <c r="C265" s="17" t="inlineStr">
        <is>
          <t>7896658002403</t>
        </is>
      </c>
      <c r="D265" s="18" t="inlineStr">
        <is>
          <t>LEUCOGEN 20MG/5ML XPE FR 120ML</t>
        </is>
      </c>
      <c r="E265" s="18" t="inlineStr">
        <is>
          <t>ACHE</t>
        </is>
      </c>
      <c r="F265" s="16" t="n">
        <v>2</v>
      </c>
      <c r="G265" s="13" t="n"/>
      <c r="H265" s="14" t="n"/>
      <c r="I265" s="5" t="n"/>
      <c r="J265" s="19">
        <f>IF(G265="","",F265*G265)</f>
        <v/>
      </c>
    </row>
    <row r="266">
      <c r="A266" s="10" t="n">
        <v>252</v>
      </c>
      <c r="B266" s="10" t="n">
        <v>320281</v>
      </c>
      <c r="C266" s="11" t="inlineStr">
        <is>
          <t>7896658008764</t>
        </is>
      </c>
      <c r="D266" s="12" t="inlineStr">
        <is>
          <t>LEVOID 50MCG CX 30 COMP</t>
        </is>
      </c>
      <c r="E266" s="12" t="inlineStr">
        <is>
          <t>ACHE</t>
        </is>
      </c>
      <c r="F266" s="10" t="n">
        <v>1</v>
      </c>
      <c r="G266" s="13" t="n"/>
      <c r="H266" s="14" t="n"/>
      <c r="I266" s="5" t="n"/>
      <c r="J266" s="15">
        <f>IF(G266="","",F266*G266)</f>
        <v/>
      </c>
    </row>
    <row r="267">
      <c r="A267" s="16" t="n">
        <v>253</v>
      </c>
      <c r="B267" s="16" t="n">
        <v>623531</v>
      </c>
      <c r="C267" s="17" t="inlineStr">
        <is>
          <t>3337875803786</t>
        </is>
      </c>
      <c r="D267" s="18" t="inlineStr">
        <is>
          <t>LIPIKAR BAUME LIGHT AP+M 400ML-DEMAIS PROD</t>
        </is>
      </c>
      <c r="E267" s="18" t="inlineStr">
        <is>
          <t>LOREAL</t>
        </is>
      </c>
      <c r="F267" s="16" t="n">
        <v>1</v>
      </c>
      <c r="G267" s="13" t="n"/>
      <c r="H267" s="14" t="n"/>
      <c r="I267" s="5" t="n"/>
      <c r="J267" s="19">
        <f>IF(G267="","",F267*G267)</f>
        <v/>
      </c>
    </row>
    <row r="268">
      <c r="A268" s="10" t="n">
        <v>254</v>
      </c>
      <c r="B268" s="10" t="n">
        <v>619591</v>
      </c>
      <c r="C268" s="11" t="inlineStr">
        <is>
          <t>4005900399861</t>
        </is>
      </c>
      <c r="D268" s="12" t="inlineStr">
        <is>
          <t>LOC NIVEA DEO HIDRA DERMA CARE 200ML</t>
        </is>
      </c>
      <c r="E268" s="12" t="inlineStr">
        <is>
          <t>NIVEA</t>
        </is>
      </c>
      <c r="F268" s="10" t="n">
        <v>1</v>
      </c>
      <c r="G268" s="13" t="n"/>
      <c r="H268" s="14" t="n"/>
      <c r="I268" s="5" t="n"/>
      <c r="J268" s="15">
        <f>IF(G268="","",F268*G268)</f>
        <v/>
      </c>
    </row>
    <row r="269">
      <c r="A269" s="16" t="n">
        <v>255</v>
      </c>
      <c r="B269" s="16" t="n">
        <v>62761</v>
      </c>
      <c r="C269" s="17" t="inlineStr">
        <is>
          <t>7896637023443</t>
        </is>
      </c>
      <c r="D269" s="18" t="inlineStr">
        <is>
          <t>LONIUM 40MG CX 30 COMP REV</t>
        </is>
      </c>
      <c r="E269" s="18" t="inlineStr">
        <is>
          <t>APSEN</t>
        </is>
      </c>
      <c r="F269" s="16" t="n">
        <v>1</v>
      </c>
      <c r="G269" s="13" t="n"/>
      <c r="H269" s="14" t="n"/>
      <c r="I269" s="5" t="n"/>
      <c r="J269" s="19">
        <f>IF(G269="","",F269*G269)</f>
        <v/>
      </c>
    </row>
    <row r="270">
      <c r="A270" s="10" t="n">
        <v>256</v>
      </c>
      <c r="B270" s="10" t="n">
        <v>284201</v>
      </c>
      <c r="C270" s="11" t="inlineStr">
        <is>
          <t>7896676435672</t>
        </is>
      </c>
      <c r="D270" s="12" t="inlineStr">
        <is>
          <t>LUNAH 2MG/ML SOL OFT FR GOT 10ML</t>
        </is>
      </c>
      <c r="E270" s="12" t="inlineStr">
        <is>
          <t>CRISTALIA</t>
        </is>
      </c>
      <c r="F270" s="10" t="n">
        <v>3</v>
      </c>
      <c r="G270" s="13" t="n"/>
      <c r="H270" s="14" t="n"/>
      <c r="I270" s="5" t="n"/>
      <c r="J270" s="15">
        <f>IF(G270="","",F270*G270)</f>
        <v/>
      </c>
    </row>
    <row r="271">
      <c r="A271" s="16" t="n">
        <v>257</v>
      </c>
      <c r="B271" s="16" t="n">
        <v>553481</v>
      </c>
      <c r="C271" s="17" t="inlineStr">
        <is>
          <t>7895858017422</t>
        </is>
      </c>
      <c r="D271" s="18" t="inlineStr">
        <is>
          <t>MAGNESIA BISURADA 63,7+521+67+3,3MG(CARTELA)</t>
        </is>
      </c>
      <c r="E271" s="18" t="inlineStr">
        <is>
          <t>ASPEN PHARMA</t>
        </is>
      </c>
      <c r="F271" s="16" t="n">
        <v>7</v>
      </c>
      <c r="G271" s="13" t="n"/>
      <c r="H271" s="14" t="n"/>
      <c r="I271" s="5" t="n"/>
      <c r="J271" s="19">
        <f>IF(G271="","",F271*G271)</f>
        <v/>
      </c>
    </row>
    <row r="272">
      <c r="A272" s="16" t="n">
        <v>258</v>
      </c>
      <c r="B272" s="16" t="n">
        <v>553481</v>
      </c>
      <c r="C272" s="17" t="inlineStr">
        <is>
          <t>7895858017439</t>
        </is>
      </c>
      <c r="D272" s="18" t="inlineStr">
        <is>
          <t>MAGNESIA BISURADA 63,7+521+67+3,3MG(CARTELA)</t>
        </is>
      </c>
      <c r="E272" s="18" t="inlineStr">
        <is>
          <t>ASPEN PHARMA</t>
        </is>
      </c>
      <c r="F272" s="16" t="n">
        <v>7</v>
      </c>
      <c r="G272" s="13" t="n"/>
      <c r="H272" s="14" t="n"/>
      <c r="I272" s="5" t="n"/>
      <c r="J272" s="19">
        <f>IF(G272="","",F272*G272)</f>
        <v/>
      </c>
    </row>
    <row r="273">
      <c r="A273" s="10" t="n">
        <v>259</v>
      </c>
      <c r="B273" s="10" t="n">
        <v>449941</v>
      </c>
      <c r="C273" s="11" t="inlineStr">
        <is>
          <t>7896026170475</t>
        </is>
      </c>
      <c r="D273" s="12" t="inlineStr">
        <is>
          <t>MALVATRICIN 0,1+1MG/ML SOL TOP FR 250ML</t>
        </is>
      </c>
      <c r="E273" s="12" t="inlineStr">
        <is>
          <t>MEGALABS</t>
        </is>
      </c>
      <c r="F273" s="10" t="n">
        <v>1</v>
      </c>
      <c r="G273" s="13" t="n"/>
      <c r="H273" s="14" t="n"/>
      <c r="I273" s="5" t="n"/>
      <c r="J273" s="15">
        <f>IF(G273="","",F273*G273)</f>
        <v/>
      </c>
    </row>
    <row r="274">
      <c r="A274" s="16" t="n">
        <v>260</v>
      </c>
      <c r="B274" s="16" t="n">
        <v>670631</v>
      </c>
      <c r="C274" s="17" t="inlineStr">
        <is>
          <t>7896026173261</t>
        </is>
      </c>
      <c r="D274" s="18" t="inlineStr">
        <is>
          <t>MALVATRICIN HA FRESH MENTA 30ML-DEMAIS PROD</t>
        </is>
      </c>
      <c r="E274" s="18" t="inlineStr">
        <is>
          <t>MEGALABS</t>
        </is>
      </c>
      <c r="F274" s="16" t="n">
        <v>4</v>
      </c>
      <c r="G274" s="13" t="n"/>
      <c r="H274" s="14" t="n"/>
      <c r="I274" s="5" t="n"/>
      <c r="J274" s="19">
        <f>IF(G274="","",F274*G274)</f>
        <v/>
      </c>
    </row>
    <row r="275">
      <c r="A275" s="10" t="n">
        <v>261</v>
      </c>
      <c r="B275" s="10" t="n">
        <v>654211</v>
      </c>
      <c r="C275" s="11" t="inlineStr">
        <is>
          <t>7896026170406</t>
        </is>
      </c>
      <c r="D275" s="12" t="inlineStr">
        <is>
          <t>MALVATRIKIDS BABY CR DEN S/FLUOR 70G</t>
        </is>
      </c>
      <c r="E275" s="12" t="inlineStr">
        <is>
          <t>MEGALABS</t>
        </is>
      </c>
      <c r="F275" s="10" t="n">
        <v>3</v>
      </c>
      <c r="G275" s="13" t="n"/>
      <c r="H275" s="14" t="n"/>
      <c r="I275" s="5" t="n"/>
      <c r="J275" s="15">
        <f>IF(G275="","",F275*G275)</f>
        <v/>
      </c>
    </row>
    <row r="276">
      <c r="A276" s="16" t="n">
        <v>262</v>
      </c>
      <c r="B276" s="16" t="n">
        <v>654261</v>
      </c>
      <c r="C276" s="17" t="inlineStr">
        <is>
          <t>7896026172141</t>
        </is>
      </c>
      <c r="D276" s="18" t="inlineStr">
        <is>
          <t>MALVATRIKIDS F 85G GRATIS 15G-DEMAIS PROD</t>
        </is>
      </c>
      <c r="E276" s="18" t="inlineStr">
        <is>
          <t>MEGALABS</t>
        </is>
      </c>
      <c r="F276" s="16" t="n">
        <v>2</v>
      </c>
      <c r="G276" s="13" t="n"/>
      <c r="H276" s="14" t="n"/>
      <c r="I276" s="5" t="n"/>
      <c r="J276" s="19">
        <f>IF(G276="","",F276*G276)</f>
        <v/>
      </c>
    </row>
    <row r="277">
      <c r="A277" s="10" t="n">
        <v>263</v>
      </c>
      <c r="B277" s="10" t="n">
        <v>654241</v>
      </c>
      <c r="C277" s="11" t="inlineStr">
        <is>
          <t>7896026172158</t>
        </is>
      </c>
      <c r="D277" s="12" t="inlineStr">
        <is>
          <t>MALVATRIKIDS JUNIOR GEL DENT 85G</t>
        </is>
      </c>
      <c r="E277" s="12" t="inlineStr">
        <is>
          <t>MEGALABS</t>
        </is>
      </c>
      <c r="F277" s="10" t="n">
        <v>1</v>
      </c>
      <c r="G277" s="13" t="n"/>
      <c r="H277" s="14" t="n"/>
      <c r="I277" s="5" t="n"/>
      <c r="J277" s="15">
        <f>IF(G277="","",F277*G277)</f>
        <v/>
      </c>
    </row>
    <row r="278">
      <c r="A278" s="16" t="n">
        <v>264</v>
      </c>
      <c r="B278" s="16" t="n">
        <v>654231</v>
      </c>
      <c r="C278" s="17" t="inlineStr">
        <is>
          <t>7896026170390</t>
        </is>
      </c>
      <c r="D278" s="18" t="inlineStr">
        <is>
          <t>MALVATRIKIDS-F CR DEN C/FLUOR 70GR</t>
        </is>
      </c>
      <c r="E278" s="18" t="inlineStr">
        <is>
          <t>MEGALABS</t>
        </is>
      </c>
      <c r="F278" s="16" t="n">
        <v>2</v>
      </c>
      <c r="G278" s="13" t="n"/>
      <c r="H278" s="14" t="n"/>
      <c r="I278" s="5" t="n"/>
      <c r="J278" s="19">
        <f>IF(G278="","",F278*G278)</f>
        <v/>
      </c>
    </row>
    <row r="279">
      <c r="A279" s="10" t="n">
        <v>265</v>
      </c>
      <c r="B279" s="10" t="n">
        <v>60541</v>
      </c>
      <c r="C279" s="11" t="inlineStr">
        <is>
          <t>7896026170550</t>
        </is>
      </c>
      <c r="D279" s="12" t="inlineStr">
        <is>
          <t>MALVONA 0,2+60MG/ML SOL TOP FR 100ML</t>
        </is>
      </c>
      <c r="E279" s="12" t="inlineStr">
        <is>
          <t>MEGALABS</t>
        </is>
      </c>
      <c r="F279" s="10" t="n">
        <v>1</v>
      </c>
      <c r="G279" s="13" t="n"/>
      <c r="H279" s="14" t="n"/>
      <c r="I279" s="5" t="n"/>
      <c r="J279" s="15">
        <f>IF(G279="","",F279*G279)</f>
        <v/>
      </c>
    </row>
    <row r="280">
      <c r="A280" s="16" t="n">
        <v>266</v>
      </c>
      <c r="B280" s="16" t="n">
        <v>652311</v>
      </c>
      <c r="C280" s="17" t="inlineStr">
        <is>
          <t>7896026170994</t>
        </is>
      </c>
      <c r="D280" s="18" t="inlineStr">
        <is>
          <t>MALVONA PROPOLIS SPRAY 30ML</t>
        </is>
      </c>
      <c r="E280" s="18" t="inlineStr">
        <is>
          <t>MEGALABS</t>
        </is>
      </c>
      <c r="F280" s="16" t="n">
        <v>1</v>
      </c>
      <c r="G280" s="13" t="n"/>
      <c r="H280" s="14" t="n"/>
      <c r="I280" s="5" t="n"/>
      <c r="J280" s="19">
        <f>IF(G280="","",F280*G280)</f>
        <v/>
      </c>
    </row>
    <row r="281">
      <c r="A281" s="10" t="n">
        <v>267</v>
      </c>
      <c r="B281" s="10" t="n">
        <v>652061</v>
      </c>
      <c r="C281" s="11" t="inlineStr">
        <is>
          <t>7891317029951</t>
        </is>
      </c>
      <c r="D281" s="12" t="inlineStr">
        <is>
          <t>MAQ SENIOR PREMIUM 30CPR-DEMAIS PROD</t>
        </is>
      </c>
      <c r="E281" s="12" t="inlineStr"/>
      <c r="F281" s="10" t="n">
        <v>2</v>
      </c>
      <c r="G281" s="13" t="n"/>
      <c r="H281" s="14" t="n"/>
      <c r="I281" s="5" t="n"/>
      <c r="J281" s="15">
        <f>IF(G281="","",F281*G281)</f>
        <v/>
      </c>
    </row>
    <row r="282">
      <c r="A282" s="16" t="n">
        <v>268</v>
      </c>
      <c r="B282" s="16" t="n">
        <v>550821</v>
      </c>
      <c r="C282" s="17" t="inlineStr">
        <is>
          <t>7898040325237</t>
        </is>
      </c>
      <c r="D282" s="18" t="inlineStr">
        <is>
          <t>MARESIS (N.S.) BABY SOL SPRAY FR 100ML</t>
        </is>
      </c>
      <c r="E282" s="18" t="inlineStr">
        <is>
          <t>FQM/FARMA</t>
        </is>
      </c>
      <c r="F282" s="16" t="n">
        <v>2</v>
      </c>
      <c r="G282" s="13" t="n"/>
      <c r="H282" s="14" t="n"/>
      <c r="I282" s="5" t="n"/>
      <c r="J282" s="19">
        <f>IF(G282="","",F282*G282)</f>
        <v/>
      </c>
    </row>
    <row r="283">
      <c r="A283" s="10" t="n">
        <v>269</v>
      </c>
      <c r="B283" s="10" t="n">
        <v>1563</v>
      </c>
      <c r="C283" s="11" t="inlineStr">
        <is>
          <t>7898040326531</t>
        </is>
      </c>
      <c r="D283" s="12" t="inlineStr">
        <is>
          <t>MARESIS (N.S.) BABY SOL SPRAY FR 150ML</t>
        </is>
      </c>
      <c r="E283" s="12" t="inlineStr">
        <is>
          <t>FQM/FARMA</t>
        </is>
      </c>
      <c r="F283" s="10" t="n">
        <v>1</v>
      </c>
      <c r="G283" s="13" t="n"/>
      <c r="H283" s="14" t="n"/>
      <c r="I283" s="5" t="n"/>
      <c r="J283" s="15">
        <f>IF(G283="","",F283*G283)</f>
        <v/>
      </c>
    </row>
    <row r="284">
      <c r="A284" s="16" t="n">
        <v>270</v>
      </c>
      <c r="B284" s="16" t="n">
        <v>653761</v>
      </c>
      <c r="C284" s="17" t="inlineStr">
        <is>
          <t>7898244720609</t>
        </is>
      </c>
      <c r="D284" s="18" t="inlineStr">
        <is>
          <t>MARESIS FLEX 1,08G KIT FR+15SACH   FQM %DN:15.00</t>
        </is>
      </c>
      <c r="E284" s="18" t="inlineStr">
        <is>
          <t>FQM/DIVCOM</t>
        </is>
      </c>
      <c r="F284" s="16" t="n">
        <v>1</v>
      </c>
      <c r="G284" s="13" t="n"/>
      <c r="H284" s="14" t="n"/>
      <c r="I284" s="5" t="n"/>
      <c r="J284" s="19">
        <f>IF(G284="","",F284*G284)</f>
        <v/>
      </c>
    </row>
    <row r="285">
      <c r="A285" s="10" t="n">
        <v>271</v>
      </c>
      <c r="B285" s="10" t="n">
        <v>653771</v>
      </c>
      <c r="C285" s="11" t="inlineStr">
        <is>
          <t>7898244720630</t>
        </is>
      </c>
      <c r="D285" s="12" t="inlineStr">
        <is>
          <t>MARESIS FLEX 2,16G KIT FR+30SACH   FQM %DN:15.00</t>
        </is>
      </c>
      <c r="E285" s="12" t="inlineStr"/>
      <c r="F285" s="10" t="n">
        <v>1</v>
      </c>
      <c r="G285" s="13" t="n"/>
      <c r="H285" s="14" t="n"/>
      <c r="I285" s="5" t="n"/>
      <c r="J285" s="15">
        <f>IF(G285="","",F285*G285)</f>
        <v/>
      </c>
    </row>
    <row r="286">
      <c r="A286" s="16" t="n">
        <v>272</v>
      </c>
      <c r="B286" s="16" t="n">
        <v>478641</v>
      </c>
      <c r="C286" s="17" t="inlineStr">
        <is>
          <t>7898040320928</t>
        </is>
      </c>
      <c r="D286" s="18" t="inlineStr">
        <is>
          <t>MAREVAN 5MG CX 30 COMP</t>
        </is>
      </c>
      <c r="E286" s="18" t="inlineStr">
        <is>
          <t>FQM/FARMA</t>
        </is>
      </c>
      <c r="F286" s="16" t="n">
        <v>1</v>
      </c>
      <c r="G286" s="13" t="n"/>
      <c r="H286" s="14" t="n"/>
      <c r="I286" s="5" t="n"/>
      <c r="J286" s="19">
        <f>IF(G286="","",F286*G286)</f>
        <v/>
      </c>
    </row>
    <row r="287">
      <c r="A287" s="10" t="n">
        <v>273</v>
      </c>
      <c r="B287" s="10" t="n">
        <v>664741</v>
      </c>
      <c r="C287" s="11" t="inlineStr">
        <is>
          <t>7891000359426</t>
        </is>
      </c>
      <c r="D287" s="12" t="inlineStr">
        <is>
          <t>MATERNA DHA 30CAP</t>
        </is>
      </c>
      <c r="E287" s="12" t="inlineStr">
        <is>
          <t>NESTLE</t>
        </is>
      </c>
      <c r="F287" s="10" t="n">
        <v>1</v>
      </c>
      <c r="G287" s="13" t="n"/>
      <c r="H287" s="14" t="n"/>
      <c r="I287" s="5" t="n"/>
      <c r="J287" s="15">
        <f>IF(G287="","",F287*G287)</f>
        <v/>
      </c>
    </row>
    <row r="288">
      <c r="A288" s="16" t="n">
        <v>274</v>
      </c>
      <c r="B288" s="16" t="n">
        <v>667521</v>
      </c>
      <c r="C288" s="17" t="inlineStr">
        <is>
          <t>7891000361887</t>
        </is>
      </c>
      <c r="D288" s="18" t="inlineStr">
        <is>
          <t>MATERNA SUPL MV DHA 30 CAPS-DEMAIS PROD</t>
        </is>
      </c>
      <c r="E288" s="18" t="inlineStr">
        <is>
          <t>NESTLE</t>
        </is>
      </c>
      <c r="F288" s="16" t="n">
        <v>1</v>
      </c>
      <c r="G288" s="13" t="n"/>
      <c r="H288" s="14" t="n"/>
      <c r="I288" s="5" t="n"/>
      <c r="J288" s="19">
        <f>IF(G288="","",F288*G288)</f>
        <v/>
      </c>
    </row>
    <row r="289">
      <c r="A289" s="10" t="n">
        <v>275</v>
      </c>
      <c r="B289" s="10" t="n">
        <v>206681</v>
      </c>
      <c r="C289" s="11" t="inlineStr">
        <is>
          <t>7896548111727</t>
        </is>
      </c>
      <c r="D289" s="12" t="inlineStr">
        <is>
          <t>MAXIDEX 1MG/ML SUS OFT FR GTS 5ML</t>
        </is>
      </c>
      <c r="E289" s="12" t="inlineStr">
        <is>
          <t>NOVARTIS</t>
        </is>
      </c>
      <c r="F289" s="10" t="n">
        <v>9</v>
      </c>
      <c r="G289" s="13" t="n"/>
      <c r="H289" s="14" t="n"/>
      <c r="I289" s="5" t="n"/>
      <c r="J289" s="15">
        <f>IF(G289="","",F289*G289)</f>
        <v/>
      </c>
    </row>
    <row r="290">
      <c r="A290" s="16" t="n">
        <v>276</v>
      </c>
      <c r="B290" s="16" t="n">
        <v>588701</v>
      </c>
      <c r="C290" s="17" t="inlineStr">
        <is>
          <t>7898495605533</t>
        </is>
      </c>
      <c r="D290" s="18" t="inlineStr">
        <is>
          <t>MAXIMUS A-Z C/30CP (CFE)</t>
        </is>
      </c>
      <c r="E290" s="18" t="inlineStr">
        <is>
          <t>CIFARMA CIENTIFICA FARMACEUTICA</t>
        </is>
      </c>
      <c r="F290" s="16" t="n">
        <v>1</v>
      </c>
      <c r="G290" s="13" t="n"/>
      <c r="H290" s="14" t="n"/>
      <c r="I290" s="5" t="n"/>
      <c r="J290" s="19">
        <f>IF(G290="","",F290*G290)</f>
        <v/>
      </c>
    </row>
    <row r="291">
      <c r="A291" s="10" t="n">
        <v>277</v>
      </c>
      <c r="B291" s="10" t="n">
        <v>207481</v>
      </c>
      <c r="C291" s="11" t="inlineStr">
        <is>
          <t>7896548111987</t>
        </is>
      </c>
      <c r="D291" s="12" t="inlineStr">
        <is>
          <t>MAXITROL 1+5MG+6MUI SUS OFT FR GTS 5ML</t>
        </is>
      </c>
      <c r="E291" s="12" t="inlineStr">
        <is>
          <t>NOVARTIS</t>
        </is>
      </c>
      <c r="F291" s="10" t="n">
        <v>1</v>
      </c>
      <c r="G291" s="13" t="n"/>
      <c r="H291" s="14" t="n"/>
      <c r="I291" s="5" t="n"/>
      <c r="J291" s="15">
        <f>IF(G291="","",F291*G291)</f>
        <v/>
      </c>
    </row>
    <row r="292">
      <c r="A292" s="16" t="n">
        <v>278</v>
      </c>
      <c r="B292" s="16" t="n">
        <v>337721</v>
      </c>
      <c r="C292" s="17" t="inlineStr">
        <is>
          <t>7896637023115</t>
        </is>
      </c>
      <c r="D292" s="18" t="inlineStr">
        <is>
          <t>MECLIN 25MG CX 15 COMP</t>
        </is>
      </c>
      <c r="E292" s="18" t="inlineStr">
        <is>
          <t>APSEN</t>
        </is>
      </c>
      <c r="F292" s="16" t="n">
        <v>9</v>
      </c>
      <c r="G292" s="13" t="n"/>
      <c r="H292" s="14" t="n"/>
      <c r="I292" s="5" t="n"/>
      <c r="J292" s="19">
        <f>IF(G292="","",F292*G292)</f>
        <v/>
      </c>
    </row>
    <row r="293">
      <c r="A293" s="10" t="n">
        <v>279</v>
      </c>
      <c r="B293" s="10" t="n">
        <v>337741</v>
      </c>
      <c r="C293" s="11" t="inlineStr">
        <is>
          <t>7896637023641</t>
        </is>
      </c>
      <c r="D293" s="12" t="inlineStr">
        <is>
          <t>MECLIN 50MG CX 15 COMP</t>
        </is>
      </c>
      <c r="E293" s="12" t="inlineStr">
        <is>
          <t>APSEN</t>
        </is>
      </c>
      <c r="F293" s="10" t="n">
        <v>4</v>
      </c>
      <c r="G293" s="13" t="n"/>
      <c r="H293" s="14" t="n"/>
      <c r="I293" s="5" t="n"/>
      <c r="J293" s="15">
        <f>IF(G293="","",F293*G293)</f>
        <v/>
      </c>
    </row>
    <row r="294">
      <c r="A294" s="16" t="n">
        <v>280</v>
      </c>
      <c r="B294" s="16" t="n">
        <v>640331</v>
      </c>
      <c r="C294" s="17" t="inlineStr">
        <is>
          <t>7897947610491</t>
        </is>
      </c>
      <c r="D294" s="18" t="inlineStr">
        <is>
          <t>MEGA DAY JUNIOR XPE FR 240ML</t>
        </is>
      </c>
      <c r="E294" s="18" t="inlineStr"/>
      <c r="F294" s="16" t="n">
        <v>1</v>
      </c>
      <c r="G294" s="13" t="n"/>
      <c r="H294" s="14" t="n"/>
      <c r="I294" s="5" t="n"/>
      <c r="J294" s="19">
        <f>IF(G294="","",F294*G294)</f>
        <v/>
      </c>
    </row>
    <row r="295">
      <c r="A295" s="10" t="n">
        <v>281</v>
      </c>
      <c r="B295" s="10" t="n">
        <v>673191</v>
      </c>
      <c r="C295" s="11" t="inlineStr">
        <is>
          <t>7896023752513</t>
        </is>
      </c>
      <c r="D295" s="12" t="inlineStr">
        <is>
          <t>MELAGRIAO SPRAY - MENTA - 30ML-DEMAIS PROD</t>
        </is>
      </c>
      <c r="E295" s="12" t="inlineStr">
        <is>
          <t>CATARINENSE PHARMA</t>
        </is>
      </c>
      <c r="F295" s="10" t="n">
        <v>3</v>
      </c>
      <c r="G295" s="13" t="n"/>
      <c r="H295" s="14" t="n"/>
      <c r="I295" s="5" t="n"/>
      <c r="J295" s="15">
        <f>IF(G295="","",F295*G295)</f>
        <v/>
      </c>
    </row>
    <row r="296">
      <c r="A296" s="16" t="n">
        <v>282</v>
      </c>
      <c r="B296" s="16" t="n">
        <v>3223</v>
      </c>
      <c r="C296" s="17" t="inlineStr">
        <is>
          <t>7896023708626</t>
        </is>
      </c>
      <c r="D296" s="18" t="inlineStr">
        <is>
          <t>MELAGRIAO SPRAY 30ML EXTRA FORTE</t>
        </is>
      </c>
      <c r="E296" s="18" t="inlineStr"/>
      <c r="F296" s="16" t="n">
        <v>1</v>
      </c>
      <c r="G296" s="13" t="n"/>
      <c r="H296" s="14" t="n"/>
      <c r="I296" s="5" t="n"/>
      <c r="J296" s="19">
        <f>IF(G296="","",F296*G296)</f>
        <v/>
      </c>
    </row>
    <row r="297">
      <c r="A297" s="10" t="n">
        <v>283</v>
      </c>
      <c r="B297" s="10" t="n">
        <v>627701</v>
      </c>
      <c r="C297" s="11" t="inlineStr">
        <is>
          <t>7896023793332</t>
        </is>
      </c>
      <c r="D297" s="12" t="inlineStr">
        <is>
          <t>MELAGRIAO SPRAY LIMÃO 30ML</t>
        </is>
      </c>
      <c r="E297" s="12" t="inlineStr">
        <is>
          <t>CATARINENSE PHARMA</t>
        </is>
      </c>
      <c r="F297" s="10" t="n">
        <v>1</v>
      </c>
      <c r="G297" s="13" t="n"/>
      <c r="H297" s="14" t="n"/>
      <c r="I297" s="5" t="n"/>
      <c r="J297" s="15">
        <f>IF(G297="","",F297*G297)</f>
        <v/>
      </c>
    </row>
    <row r="298">
      <c r="A298" s="16" t="n">
        <v>284</v>
      </c>
      <c r="B298" s="16" t="n">
        <v>548221</v>
      </c>
      <c r="C298" s="17" t="inlineStr">
        <is>
          <t>7896023719899</t>
        </is>
      </c>
      <c r="D298" s="18" t="inlineStr">
        <is>
          <t>MELAGRIÃO EXPECTORANTE CATARINENSE 150ML</t>
        </is>
      </c>
      <c r="E298" s="18" t="inlineStr">
        <is>
          <t>CATARINENSE PHARMA</t>
        </is>
      </c>
      <c r="F298" s="16" t="n">
        <v>2</v>
      </c>
      <c r="G298" s="13" t="n"/>
      <c r="H298" s="14" t="n"/>
      <c r="I298" s="5" t="n"/>
      <c r="J298" s="19">
        <f>IF(G298="","",F298*G298)</f>
        <v/>
      </c>
    </row>
    <row r="299">
      <c r="A299" s="10" t="n">
        <v>285</v>
      </c>
      <c r="B299" s="10" t="n">
        <v>626141</v>
      </c>
      <c r="C299" s="11" t="inlineStr">
        <is>
          <t>7891317011598</t>
        </is>
      </c>
      <c r="D299" s="12" t="inlineStr">
        <is>
          <t>MELOCOX ODT 15MG CX 10 COMP ORODISP</t>
        </is>
      </c>
      <c r="E299" s="12" t="inlineStr">
        <is>
          <t>EUROFARMA</t>
        </is>
      </c>
      <c r="F299" s="10" t="n">
        <v>2</v>
      </c>
      <c r="G299" s="13" t="n"/>
      <c r="H299" s="14" t="n"/>
      <c r="I299" s="5" t="n"/>
      <c r="J299" s="15">
        <f>IF(G299="","",F299*G299)</f>
        <v/>
      </c>
    </row>
    <row r="300">
      <c r="A300" s="16" t="n">
        <v>286</v>
      </c>
      <c r="B300" s="16" t="n">
        <v>158801</v>
      </c>
      <c r="C300" s="17" t="inlineStr">
        <is>
          <t>7896658012419</t>
        </is>
      </c>
      <c r="D300" s="18" t="inlineStr">
        <is>
          <t>MERITOR 4+1000MG CX 30 COMP REV</t>
        </is>
      </c>
      <c r="E300" s="18" t="inlineStr">
        <is>
          <t>ACHE</t>
        </is>
      </c>
      <c r="F300" s="16" t="n">
        <v>3</v>
      </c>
      <c r="G300" s="13" t="n"/>
      <c r="H300" s="14" t="n"/>
      <c r="I300" s="5" t="n"/>
      <c r="J300" s="19">
        <f>IF(G300="","",F300*G300)</f>
        <v/>
      </c>
    </row>
    <row r="301">
      <c r="A301" s="10" t="n">
        <v>287</v>
      </c>
      <c r="B301" s="10" t="n">
        <v>663861</v>
      </c>
      <c r="C301" s="11" t="inlineStr">
        <is>
          <t>7891106916233</t>
        </is>
      </c>
      <c r="D301" s="12" t="inlineStr">
        <is>
          <t>MESIGYNA 50+5MG/ML C/1 SER PR+AG-REFERENCIA</t>
        </is>
      </c>
      <c r="E301" s="12" t="inlineStr">
        <is>
          <t>BAYER</t>
        </is>
      </c>
      <c r="F301" s="10" t="n">
        <v>3</v>
      </c>
      <c r="G301" s="13" t="n"/>
      <c r="H301" s="14" t="n"/>
      <c r="I301" s="5" t="n"/>
      <c r="J301" s="15">
        <f>IF(G301="","",F301*G301)</f>
        <v/>
      </c>
    </row>
    <row r="302">
      <c r="A302" s="16" t="n">
        <v>288</v>
      </c>
      <c r="B302" s="16" t="n">
        <v>622911</v>
      </c>
      <c r="C302" s="17" t="inlineStr">
        <is>
          <t>020800750165</t>
        </is>
      </c>
      <c r="D302" s="18" t="inlineStr">
        <is>
          <t>METAMUCIL 0,562G PO PREP 10 ENV X 1 SACHE SB LARANJA</t>
        </is>
      </c>
      <c r="E302" s="18" t="inlineStr">
        <is>
          <t>P&amp;G</t>
        </is>
      </c>
      <c r="F302" s="16" t="n">
        <v>2</v>
      </c>
      <c r="G302" s="13" t="n"/>
      <c r="H302" s="14" t="n"/>
      <c r="I302" s="5" t="n"/>
      <c r="J302" s="19">
        <f>IF(G302="","",F302*G302)</f>
        <v/>
      </c>
    </row>
    <row r="303">
      <c r="A303" s="10" t="n">
        <v>289</v>
      </c>
      <c r="B303" s="10" t="n">
        <v>665551</v>
      </c>
      <c r="C303" s="11" t="inlineStr">
        <is>
          <t>00020800750158</t>
        </is>
      </c>
      <c r="D303" s="12" t="inlineStr">
        <is>
          <t>METAMUCIL SOLUVEL LARANJA 174G-OUTROS</t>
        </is>
      </c>
      <c r="E303" s="12" t="inlineStr">
        <is>
          <t>P&amp;G</t>
        </is>
      </c>
      <c r="F303" s="10" t="n">
        <v>1</v>
      </c>
      <c r="G303" s="13" t="n"/>
      <c r="H303" s="14" t="n"/>
      <c r="I303" s="5" t="n"/>
      <c r="J303" s="15">
        <f>IF(G303="","",F303*G303)</f>
        <v/>
      </c>
    </row>
    <row r="304">
      <c r="A304" s="16" t="n">
        <v>290</v>
      </c>
      <c r="B304" s="16" t="n">
        <v>225321</v>
      </c>
      <c r="C304" s="17" t="inlineStr">
        <is>
          <t>7896004760995</t>
        </is>
      </c>
      <c r="D304" s="18" t="inlineStr">
        <is>
          <t>MIGRALIV CX 12 COMP</t>
        </is>
      </c>
      <c r="E304" s="18" t="inlineStr">
        <is>
          <t>SIGMA PHARMA</t>
        </is>
      </c>
      <c r="F304" s="16" t="n">
        <v>2</v>
      </c>
      <c r="G304" s="13" t="n"/>
      <c r="H304" s="14" t="n"/>
      <c r="I304" s="5" t="n"/>
      <c r="J304" s="19">
        <f>IF(G304="","",F304*G304)</f>
        <v/>
      </c>
    </row>
    <row r="305">
      <c r="A305" s="10" t="n">
        <v>291</v>
      </c>
      <c r="B305" s="10" t="n">
        <v>621241</v>
      </c>
      <c r="C305" s="11" t="inlineStr">
        <is>
          <t>7896920304334</t>
        </is>
      </c>
      <c r="D305" s="12" t="inlineStr">
        <is>
          <t>MILMUNE CONCENTRADO 120ML</t>
        </is>
      </c>
      <c r="E305" s="12" t="inlineStr">
        <is>
          <t>ECOFITUS</t>
        </is>
      </c>
      <c r="F305" s="10" t="n">
        <v>6</v>
      </c>
      <c r="G305" s="13" t="n"/>
      <c r="H305" s="14" t="n"/>
      <c r="I305" s="5" t="n"/>
      <c r="J305" s="15">
        <f>IF(G305="","",F305*G305)</f>
        <v/>
      </c>
    </row>
    <row r="306">
      <c r="A306" s="16" t="n">
        <v>292</v>
      </c>
      <c r="B306" s="16" t="n">
        <v>557961</v>
      </c>
      <c r="C306" s="17" t="inlineStr">
        <is>
          <t>7896920304037</t>
        </is>
      </c>
      <c r="D306" s="18" t="inlineStr">
        <is>
          <t>MILMUNE CONCENTRADO 30CP</t>
        </is>
      </c>
      <c r="E306" s="18" t="inlineStr">
        <is>
          <t>ECOFITUS</t>
        </is>
      </c>
      <c r="F306" s="16" t="n">
        <v>6</v>
      </c>
      <c r="G306" s="13" t="n"/>
      <c r="H306" s="14" t="n"/>
      <c r="I306" s="5" t="n"/>
      <c r="J306" s="19">
        <f>IF(G306="","",F306*G306)</f>
        <v/>
      </c>
    </row>
    <row r="307">
      <c r="A307" s="10" t="n">
        <v>293</v>
      </c>
      <c r="B307" s="10" t="n">
        <v>582261</v>
      </c>
      <c r="C307" s="11" t="inlineStr">
        <is>
          <t>7891317015176</t>
        </is>
      </c>
      <c r="D307" s="12" t="inlineStr">
        <is>
          <t>MINILAX 714,0+7,70MG/G SOL RET CAIXA C/ 7</t>
        </is>
      </c>
      <c r="E307" s="12" t="inlineStr">
        <is>
          <t>MOMENTA</t>
        </is>
      </c>
      <c r="F307" s="10" t="n">
        <v>3</v>
      </c>
      <c r="G307" s="13" t="n"/>
      <c r="H307" s="14" t="n"/>
      <c r="I307" s="5" t="n"/>
      <c r="J307" s="15">
        <f>IF(G307="","",F307*G307)</f>
        <v/>
      </c>
    </row>
    <row r="308">
      <c r="A308" s="16" t="n">
        <v>294</v>
      </c>
      <c r="B308" s="16" t="n">
        <v>133581</v>
      </c>
      <c r="C308" s="17" t="inlineStr">
        <is>
          <t>7896637023665</t>
        </is>
      </c>
      <c r="D308" s="18" t="inlineStr">
        <is>
          <t>MIOSAN 10MG CX 10 COMP REV</t>
        </is>
      </c>
      <c r="E308" s="18" t="inlineStr">
        <is>
          <t>APSEN</t>
        </is>
      </c>
      <c r="F308" s="16" t="n">
        <v>9</v>
      </c>
      <c r="G308" s="13" t="n"/>
      <c r="H308" s="14" t="n"/>
      <c r="I308" s="5" t="n"/>
      <c r="J308" s="19">
        <f>IF(G308="","",F308*G308)</f>
        <v/>
      </c>
    </row>
    <row r="309">
      <c r="A309" s="10" t="n">
        <v>295</v>
      </c>
      <c r="B309" s="10" t="n">
        <v>133601</v>
      </c>
      <c r="C309" s="11" t="inlineStr">
        <is>
          <t>7896637023658</t>
        </is>
      </c>
      <c r="D309" s="12" t="inlineStr">
        <is>
          <t>MIOSAN 5MG CX 10 COMP REV</t>
        </is>
      </c>
      <c r="E309" s="12" t="inlineStr">
        <is>
          <t>APSEN</t>
        </is>
      </c>
      <c r="F309" s="10" t="n">
        <v>1</v>
      </c>
      <c r="G309" s="13" t="n"/>
      <c r="H309" s="14" t="n"/>
      <c r="I309" s="5" t="n"/>
      <c r="J309" s="15">
        <f>IF(G309="","",F309*G309)</f>
        <v/>
      </c>
    </row>
    <row r="310">
      <c r="A310" s="16" t="n">
        <v>296</v>
      </c>
      <c r="B310" s="16" t="n">
        <v>134741</v>
      </c>
      <c r="C310" s="17" t="inlineStr">
        <is>
          <t>7896637025102</t>
        </is>
      </c>
      <c r="D310" s="18" t="inlineStr">
        <is>
          <t>MIOSAN CAF 10+60MG CX 15 COMP REV</t>
        </is>
      </c>
      <c r="E310" s="18" t="inlineStr">
        <is>
          <t>APSEN</t>
        </is>
      </c>
      <c r="F310" s="16" t="n">
        <v>3</v>
      </c>
      <c r="G310" s="13" t="n"/>
      <c r="H310" s="14" t="n"/>
      <c r="I310" s="5" t="n"/>
      <c r="J310" s="19">
        <f>IF(G310="","",F310*G310)</f>
        <v/>
      </c>
    </row>
    <row r="311">
      <c r="A311" s="10" t="n">
        <v>297</v>
      </c>
      <c r="B311" s="10" t="n">
        <v>351341</v>
      </c>
      <c r="C311" s="11" t="inlineStr">
        <is>
          <t>7897851250561</t>
        </is>
      </c>
      <c r="D311" s="12" t="inlineStr">
        <is>
          <t>MONOCORDIL 20MG CX 30 COMP</t>
        </is>
      </c>
      <c r="E311" s="12" t="inlineStr">
        <is>
          <t>BALDACCI</t>
        </is>
      </c>
      <c r="F311" s="10" t="n">
        <v>1</v>
      </c>
      <c r="G311" s="13" t="n"/>
      <c r="H311" s="14" t="n"/>
      <c r="I311" s="5" t="n"/>
      <c r="J311" s="15">
        <f>IF(G311="","",F311*G311)</f>
        <v/>
      </c>
    </row>
    <row r="312">
      <c r="A312" s="16" t="n">
        <v>298</v>
      </c>
      <c r="B312" s="16" t="n">
        <v>351361</v>
      </c>
      <c r="C312" s="17" t="inlineStr">
        <is>
          <t>7897851250585</t>
        </is>
      </c>
      <c r="D312" s="18" t="inlineStr">
        <is>
          <t>MONOCORDIL 40MG CX 30 COMP</t>
        </is>
      </c>
      <c r="E312" s="18" t="inlineStr">
        <is>
          <t>BALDACCI</t>
        </is>
      </c>
      <c r="F312" s="16" t="n">
        <v>1</v>
      </c>
      <c r="G312" s="13" t="n"/>
      <c r="H312" s="14" t="n"/>
      <c r="I312" s="5" t="n"/>
      <c r="J312" s="19">
        <f>IF(G312="","",F312*G312)</f>
        <v/>
      </c>
    </row>
    <row r="313">
      <c r="A313" s="10" t="n">
        <v>299</v>
      </c>
      <c r="B313" s="10" t="n">
        <v>256161</v>
      </c>
      <c r="C313" s="11" t="inlineStr">
        <is>
          <t>7898074614178</t>
        </is>
      </c>
      <c r="D313" s="12" t="inlineStr">
        <is>
          <t>MONURIL 5,631G GRAN ENV 8G</t>
        </is>
      </c>
      <c r="E313" s="12" t="inlineStr">
        <is>
          <t>ZAMBON</t>
        </is>
      </c>
      <c r="F313" s="10" t="n">
        <v>6</v>
      </c>
      <c r="G313" s="13" t="n"/>
      <c r="H313" s="14" t="n"/>
      <c r="I313" s="5" t="n"/>
      <c r="J313" s="15">
        <f>IF(G313="","",F313*G313)</f>
        <v/>
      </c>
    </row>
    <row r="314">
      <c r="A314" s="16" t="n">
        <v>300</v>
      </c>
      <c r="B314" s="16" t="n">
        <v>229001</v>
      </c>
      <c r="C314" s="17" t="inlineStr">
        <is>
          <t>7896212429738</t>
        </is>
      </c>
      <c r="D314" s="18" t="inlineStr">
        <is>
          <t>MOTILIUM 10MG CX 30 COMP</t>
        </is>
      </c>
      <c r="E314" s="18" t="inlineStr">
        <is>
          <t>JOHNSON &amp; JOHNSON</t>
        </is>
      </c>
      <c r="F314" s="16" t="n">
        <v>2</v>
      </c>
      <c r="G314" s="13" t="n"/>
      <c r="H314" s="14" t="n"/>
      <c r="I314" s="5" t="n"/>
      <c r="J314" s="19">
        <f>IF(G314="","",F314*G314)</f>
        <v/>
      </c>
    </row>
    <row r="315">
      <c r="A315" s="16" t="n">
        <v>301</v>
      </c>
      <c r="B315" s="16" t="n">
        <v>229001</v>
      </c>
      <c r="C315" s="17" t="inlineStr">
        <is>
          <t>7891010256388</t>
        </is>
      </c>
      <c r="D315" s="18" t="inlineStr">
        <is>
          <t>MOTILIUM 10MG CX 30 COMP</t>
        </is>
      </c>
      <c r="E315" s="18" t="inlineStr">
        <is>
          <t>JOHNSON &amp; JOHNSON</t>
        </is>
      </c>
      <c r="F315" s="16" t="n">
        <v>2</v>
      </c>
      <c r="G315" s="13" t="n"/>
      <c r="H315" s="14" t="n"/>
      <c r="I315" s="5" t="n"/>
      <c r="J315" s="19">
        <f>IF(G315="","",F315*G315)</f>
        <v/>
      </c>
    </row>
    <row r="316">
      <c r="A316" s="10" t="n">
        <v>302</v>
      </c>
      <c r="B316" s="10" t="n">
        <v>133441</v>
      </c>
      <c r="C316" s="11" t="inlineStr">
        <is>
          <t>7891317432362</t>
        </is>
      </c>
      <c r="D316" s="12" t="inlineStr">
        <is>
          <t>MUSCULARE 10MG CX 15 COMP REV</t>
        </is>
      </c>
      <c r="E316" s="12" t="inlineStr">
        <is>
          <t>EUROFARMA</t>
        </is>
      </c>
      <c r="F316" s="10" t="n">
        <v>2</v>
      </c>
      <c r="G316" s="13" t="n"/>
      <c r="H316" s="14" t="n"/>
      <c r="I316" s="5" t="n"/>
      <c r="J316" s="15">
        <f>IF(G316="","",F316*G316)</f>
        <v/>
      </c>
    </row>
    <row r="317">
      <c r="A317" s="16" t="n">
        <v>303</v>
      </c>
      <c r="B317" s="16" t="n">
        <v>133421</v>
      </c>
      <c r="C317" s="17" t="inlineStr">
        <is>
          <t>7891317432447</t>
        </is>
      </c>
      <c r="D317" s="18" t="inlineStr">
        <is>
          <t>MUSCULARE 5MG CX 15 COMP</t>
        </is>
      </c>
      <c r="E317" s="18" t="inlineStr">
        <is>
          <t>EUROFARMA</t>
        </is>
      </c>
      <c r="F317" s="16" t="n">
        <v>1</v>
      </c>
      <c r="G317" s="13" t="n"/>
      <c r="H317" s="14" t="n"/>
      <c r="I317" s="5" t="n"/>
      <c r="J317" s="19">
        <f>IF(G317="","",F317*G317)</f>
        <v/>
      </c>
    </row>
    <row r="318">
      <c r="A318" s="10" t="n">
        <v>304</v>
      </c>
      <c r="B318" s="10" t="n">
        <v>328301</v>
      </c>
      <c r="C318" s="11" t="inlineStr">
        <is>
          <t>7896094201637</t>
        </is>
      </c>
      <c r="D318" s="12" t="inlineStr">
        <is>
          <t>MUVINLAX CX 20 SACH X 14G</t>
        </is>
      </c>
      <c r="E318" s="12" t="inlineStr">
        <is>
          <t>LIBBS</t>
        </is>
      </c>
      <c r="F318" s="10" t="n">
        <v>2</v>
      </c>
      <c r="G318" s="13" t="n"/>
      <c r="H318" s="14" t="n"/>
      <c r="I318" s="5" t="n"/>
      <c r="J318" s="15">
        <f>IF(G318="","",F318*G318)</f>
        <v/>
      </c>
    </row>
    <row r="319">
      <c r="A319" s="16" t="n">
        <v>305</v>
      </c>
      <c r="B319" s="16" t="n">
        <v>434881</v>
      </c>
      <c r="C319" s="17" t="inlineStr">
        <is>
          <t>7891010256432</t>
        </is>
      </c>
      <c r="D319" s="18" t="inlineStr">
        <is>
          <t>MYLANTA PLUS 80+80+6MG SUS OR FR 240ML SB MORANGO</t>
        </is>
      </c>
      <c r="E319" s="18" t="inlineStr">
        <is>
          <t>JANSSEN-CILAG</t>
        </is>
      </c>
      <c r="F319" s="16" t="n">
        <v>3</v>
      </c>
      <c r="G319" s="13" t="n"/>
      <c r="H319" s="14" t="n"/>
      <c r="I319" s="5" t="n"/>
      <c r="J319" s="19">
        <f>IF(G319="","",F319*G319)</f>
        <v/>
      </c>
    </row>
    <row r="320">
      <c r="A320" s="10" t="n">
        <v>306</v>
      </c>
      <c r="B320" s="10" t="n">
        <v>634361</v>
      </c>
      <c r="C320" s="11" t="inlineStr">
        <is>
          <t>7891010256425</t>
        </is>
      </c>
      <c r="D320" s="12" t="inlineStr">
        <is>
          <t>MYLANTA PLUS 80+80+6MG/ML SUS OR FR 240ML SB MENTA</t>
        </is>
      </c>
      <c r="E320" s="12" t="inlineStr">
        <is>
          <t>JOHNSON &amp; JOHNSON</t>
        </is>
      </c>
      <c r="F320" s="10" t="n">
        <v>2</v>
      </c>
      <c r="G320" s="13" t="n"/>
      <c r="H320" s="14" t="n"/>
      <c r="I320" s="5" t="n"/>
      <c r="J320" s="15">
        <f>IF(G320="","",F320*G320)</f>
        <v/>
      </c>
    </row>
    <row r="321">
      <c r="A321" s="16" t="n">
        <v>307</v>
      </c>
      <c r="B321" s="16" t="n">
        <v>611031</v>
      </c>
      <c r="C321" s="17" t="inlineStr">
        <is>
          <t>4015630064205</t>
        </is>
      </c>
      <c r="D321" s="18" t="inlineStr">
        <is>
          <t>N ACCU-CHEK ACTIVE 10TIRAS   ROCH %DN:0.00</t>
        </is>
      </c>
      <c r="E321" s="18" t="inlineStr">
        <is>
          <t>ACCORD FARMACEUTICA</t>
        </is>
      </c>
      <c r="F321" s="16" t="n">
        <v>1</v>
      </c>
      <c r="G321" s="13" t="n"/>
      <c r="H321" s="14" t="n"/>
      <c r="I321" s="5" t="n"/>
      <c r="J321" s="19">
        <f>IF(G321="","",F321*G321)</f>
        <v/>
      </c>
    </row>
    <row r="322">
      <c r="A322" s="10" t="n">
        <v>308</v>
      </c>
      <c r="B322" s="10" t="n">
        <v>204141</v>
      </c>
      <c r="C322" s="11" t="inlineStr">
        <is>
          <t>7896094208124</t>
        </is>
      </c>
      <c r="D322" s="12" t="inlineStr">
        <is>
          <t>NACTALI 75MCG CAIXA C/ 3 CARTELAS C/21</t>
        </is>
      </c>
      <c r="E322" s="12" t="inlineStr">
        <is>
          <t>LIBBS</t>
        </is>
      </c>
      <c r="F322" s="10" t="n">
        <v>1</v>
      </c>
      <c r="G322" s="13" t="n"/>
      <c r="H322" s="14" t="n"/>
      <c r="I322" s="5" t="n"/>
      <c r="J322" s="15">
        <f>IF(G322="","",F322*G322)</f>
        <v/>
      </c>
    </row>
    <row r="323">
      <c r="A323" s="16" t="n">
        <v>309</v>
      </c>
      <c r="B323" s="16" t="n">
        <v>579461</v>
      </c>
      <c r="C323" s="17" t="inlineStr"/>
      <c r="D323" s="18" t="inlineStr">
        <is>
          <t>NALDECON MULTI 800+20MG CARTELA C/ 4 CP</t>
        </is>
      </c>
      <c r="E323" s="18" t="inlineStr">
        <is>
          <t>RECKITT BENCKISER</t>
        </is>
      </c>
      <c r="F323" s="16" t="n">
        <v>1</v>
      </c>
      <c r="G323" s="13" t="n"/>
      <c r="H323" s="14" t="n"/>
      <c r="I323" s="5" t="n"/>
      <c r="J323" s="19">
        <f>IF(G323="","",F323*G323)</f>
        <v/>
      </c>
    </row>
    <row r="324">
      <c r="A324" s="10" t="n">
        <v>310</v>
      </c>
      <c r="B324" s="10" t="n">
        <v>624201</v>
      </c>
      <c r="C324" s="11" t="inlineStr">
        <is>
          <t>7899706185844</t>
        </is>
      </c>
      <c r="D324" s="12" t="inlineStr">
        <is>
          <t>NANTHELIOS LRP ULTRA COVER FPS60 COR3.0 30G</t>
        </is>
      </c>
      <c r="E324" s="12" t="inlineStr">
        <is>
          <t>LOREAL</t>
        </is>
      </c>
      <c r="F324" s="10" t="n">
        <v>2</v>
      </c>
      <c r="G324" s="13" t="n"/>
      <c r="H324" s="14" t="n"/>
      <c r="I324" s="5" t="n"/>
      <c r="J324" s="15">
        <f>IF(G324="","",F324*G324)</f>
        <v/>
      </c>
    </row>
    <row r="325">
      <c r="A325" s="16" t="n">
        <v>311</v>
      </c>
      <c r="B325" s="16" t="n">
        <v>237701</v>
      </c>
      <c r="C325" s="17" t="inlineStr">
        <is>
          <t>7896094201477</t>
        </is>
      </c>
      <c r="D325" s="18" t="inlineStr">
        <is>
          <t>NATIFA PRO 1+0,5MG CX 28 COMP REV</t>
        </is>
      </c>
      <c r="E325" s="18" t="inlineStr">
        <is>
          <t>LIBBS</t>
        </is>
      </c>
      <c r="F325" s="16" t="n">
        <v>4</v>
      </c>
      <c r="G325" s="13" t="n"/>
      <c r="H325" s="14" t="n"/>
      <c r="I325" s="5" t="n"/>
      <c r="J325" s="19">
        <f>IF(G325="","",F325*G325)</f>
        <v/>
      </c>
    </row>
    <row r="326">
      <c r="A326" s="10" t="n">
        <v>312</v>
      </c>
      <c r="B326" s="10" t="n">
        <v>644711</v>
      </c>
      <c r="C326" s="11" t="inlineStr">
        <is>
          <t>7891010254025</t>
        </is>
      </c>
      <c r="D326" s="12" t="inlineStr">
        <is>
          <t>NEOS MINESOL COR/ROS FPS70 120ML</t>
        </is>
      </c>
      <c r="E326" s="12" t="inlineStr">
        <is>
          <t>KENVER</t>
        </is>
      </c>
      <c r="F326" s="10" t="n">
        <v>1</v>
      </c>
      <c r="G326" s="13" t="n"/>
      <c r="H326" s="14" t="n"/>
      <c r="I326" s="5" t="n"/>
      <c r="J326" s="15">
        <f>IF(G326="","",F326*G326)</f>
        <v/>
      </c>
    </row>
    <row r="327">
      <c r="A327" s="16" t="n">
        <v>313</v>
      </c>
      <c r="B327" s="16" t="n">
        <v>644791</v>
      </c>
      <c r="C327" s="17" t="inlineStr">
        <is>
          <t>7891010248130</t>
        </is>
      </c>
      <c r="D327" s="18" t="inlineStr">
        <is>
          <t>NEOS MINESOL COR/ROS FPS99 200ML</t>
        </is>
      </c>
      <c r="E327" s="18" t="inlineStr">
        <is>
          <t>KENVER</t>
        </is>
      </c>
      <c r="F327" s="16" t="n">
        <v>2</v>
      </c>
      <c r="G327" s="13" t="n"/>
      <c r="H327" s="14" t="n"/>
      <c r="I327" s="5" t="n"/>
      <c r="J327" s="19">
        <f>IF(G327="","",F327*G327)</f>
        <v/>
      </c>
    </row>
    <row r="328">
      <c r="A328" s="10" t="n">
        <v>314</v>
      </c>
      <c r="B328" s="10" t="n">
        <v>669601</v>
      </c>
      <c r="C328" s="11" t="inlineStr">
        <is>
          <t>7896046304126</t>
        </is>
      </c>
      <c r="D328" s="12" t="inlineStr">
        <is>
          <t>NEOVITE MAX 30CAP BLPA</t>
        </is>
      </c>
      <c r="E328" s="12" t="inlineStr"/>
      <c r="F328" s="10" t="n">
        <v>1</v>
      </c>
      <c r="G328" s="13" t="n"/>
      <c r="H328" s="14" t="n"/>
      <c r="I328" s="5" t="n"/>
      <c r="J328" s="15">
        <f>IF(G328="","",F328*G328)</f>
        <v/>
      </c>
    </row>
    <row r="329">
      <c r="A329" s="16" t="n">
        <v>315</v>
      </c>
      <c r="B329" s="16" t="n">
        <v>539781</v>
      </c>
      <c r="C329" s="17" t="inlineStr">
        <is>
          <t>7891106914024</t>
        </is>
      </c>
      <c r="D329" s="18" t="inlineStr">
        <is>
          <t>NEOVLAR 0,25+0,05MG CX 21 COMP REV</t>
        </is>
      </c>
      <c r="E329" s="18" t="inlineStr">
        <is>
          <t>UNIAO QUIMICA FARMACEUTICA</t>
        </is>
      </c>
      <c r="F329" s="16" t="n">
        <v>3</v>
      </c>
      <c r="G329" s="13" t="n"/>
      <c r="H329" s="14" t="n"/>
      <c r="I329" s="5" t="n"/>
      <c r="J329" s="19">
        <f>IF(G329="","",F329*G329)</f>
        <v/>
      </c>
    </row>
    <row r="330">
      <c r="A330" s="16" t="n">
        <v>316</v>
      </c>
      <c r="B330" s="16" t="n">
        <v>539781</v>
      </c>
      <c r="C330" s="17" t="inlineStr">
        <is>
          <t>7896006201687</t>
        </is>
      </c>
      <c r="D330" s="18" t="inlineStr">
        <is>
          <t>NEOVLAR 0,25+0,05MG CX 21 COMP REV</t>
        </is>
      </c>
      <c r="E330" s="18" t="inlineStr">
        <is>
          <t>UNIAO QUIMICA FARMACEUTICA</t>
        </is>
      </c>
      <c r="F330" s="16" t="n">
        <v>3</v>
      </c>
      <c r="G330" s="13" t="n"/>
      <c r="H330" s="14" t="n"/>
      <c r="I330" s="5" t="n"/>
      <c r="J330" s="19">
        <f>IF(G330="","",F330*G330)</f>
        <v/>
      </c>
    </row>
    <row r="331">
      <c r="A331" s="10" t="n">
        <v>317</v>
      </c>
      <c r="B331" s="10" t="n">
        <v>588721</v>
      </c>
      <c r="C331" s="11" t="inlineStr">
        <is>
          <t>7891045031257</t>
        </is>
      </c>
      <c r="D331" s="12" t="inlineStr">
        <is>
          <t>NESTLE MATERNA FR 30 COMP</t>
        </is>
      </c>
      <c r="E331" s="12" t="inlineStr">
        <is>
          <t>NESTLE</t>
        </is>
      </c>
      <c r="F331" s="10" t="n">
        <v>10</v>
      </c>
      <c r="G331" s="13" t="n"/>
      <c r="H331" s="14" t="n"/>
      <c r="I331" s="5" t="n"/>
      <c r="J331" s="15">
        <f>IF(G331="","",F331*G331)</f>
        <v/>
      </c>
    </row>
    <row r="332">
      <c r="A332" s="16" t="n">
        <v>318</v>
      </c>
      <c r="B332" s="16" t="n">
        <v>644761</v>
      </c>
      <c r="C332" s="17" t="inlineStr">
        <is>
          <t>7891010250959</t>
        </is>
      </c>
      <c r="D332" s="18" t="inlineStr">
        <is>
          <t>NEUT SUN FRESH FPS30 SPR 180ML</t>
        </is>
      </c>
      <c r="E332" s="18" t="inlineStr">
        <is>
          <t>KENVER</t>
        </is>
      </c>
      <c r="F332" s="16" t="n">
        <v>2</v>
      </c>
      <c r="G332" s="13" t="n"/>
      <c r="H332" s="14" t="n"/>
      <c r="I332" s="5" t="n"/>
      <c r="J332" s="19">
        <f>IF(G332="","",F332*G332)</f>
        <v/>
      </c>
    </row>
    <row r="333">
      <c r="A333" s="10" t="n">
        <v>319</v>
      </c>
      <c r="B333" s="10" t="n">
        <v>613781</v>
      </c>
      <c r="C333" s="11" t="inlineStr">
        <is>
          <t>7891010249106</t>
        </is>
      </c>
      <c r="D333" s="12" t="inlineStr">
        <is>
          <t>NEUT SUN FRESH FPS90 200ML</t>
        </is>
      </c>
      <c r="E333" s="12" t="inlineStr">
        <is>
          <t>KENVER</t>
        </is>
      </c>
      <c r="F333" s="10" t="n">
        <v>1</v>
      </c>
      <c r="G333" s="13" t="n"/>
      <c r="H333" s="14" t="n"/>
      <c r="I333" s="5" t="n"/>
      <c r="J333" s="15">
        <f>IF(G333="","",F333*G333)</f>
        <v/>
      </c>
    </row>
    <row r="334">
      <c r="A334" s="16" t="n">
        <v>320</v>
      </c>
      <c r="B334" s="16" t="n">
        <v>358281</v>
      </c>
      <c r="C334" s="17" t="inlineStr">
        <is>
          <t>7894916500548</t>
        </is>
      </c>
      <c r="D334" s="18" t="inlineStr">
        <is>
          <t>NEUTROFER 150MG FR 30 COMP</t>
        </is>
      </c>
      <c r="E334" s="18" t="inlineStr">
        <is>
          <t>SIGMA PHARMA</t>
        </is>
      </c>
      <c r="F334" s="16" t="n">
        <v>4</v>
      </c>
      <c r="G334" s="13" t="n"/>
      <c r="H334" s="14" t="n"/>
      <c r="I334" s="5" t="n"/>
      <c r="J334" s="19">
        <f>IF(G334="","",F334*G334)</f>
        <v/>
      </c>
    </row>
    <row r="335">
      <c r="A335" s="10" t="n">
        <v>321</v>
      </c>
      <c r="B335" s="10" t="n">
        <v>358321</v>
      </c>
      <c r="C335" s="11" t="inlineStr">
        <is>
          <t>7894916500333</t>
        </is>
      </c>
      <c r="D335" s="12" t="inlineStr">
        <is>
          <t>NEUTROFER 300MG FR 30 COMP</t>
        </is>
      </c>
      <c r="E335" s="12" t="inlineStr">
        <is>
          <t>SIGMA PHARMA</t>
        </is>
      </c>
      <c r="F335" s="10" t="n">
        <v>11</v>
      </c>
      <c r="G335" s="13" t="n"/>
      <c r="H335" s="14" t="n"/>
      <c r="I335" s="5" t="n"/>
      <c r="J335" s="15">
        <f>IF(G335="","",F335*G335)</f>
        <v/>
      </c>
    </row>
    <row r="336">
      <c r="A336" s="16" t="n">
        <v>322</v>
      </c>
      <c r="B336" s="16" t="n">
        <v>358301</v>
      </c>
      <c r="C336" s="17" t="inlineStr">
        <is>
          <t>7894916500272</t>
        </is>
      </c>
      <c r="D336" s="18" t="inlineStr">
        <is>
          <t>NEUTROFER 500MG FR 30 COMP</t>
        </is>
      </c>
      <c r="E336" s="18" t="inlineStr">
        <is>
          <t>SIGMA PHARMA</t>
        </is>
      </c>
      <c r="F336" s="16" t="n">
        <v>6</v>
      </c>
      <c r="G336" s="13" t="n"/>
      <c r="H336" s="14" t="n"/>
      <c r="I336" s="5" t="n"/>
      <c r="J336" s="19">
        <f>IF(G336="","",F336*G336)</f>
        <v/>
      </c>
    </row>
    <row r="337">
      <c r="A337" s="10" t="n">
        <v>323</v>
      </c>
      <c r="B337" s="10" t="n">
        <v>654001</v>
      </c>
      <c r="C337" s="11" t="inlineStr">
        <is>
          <t>7894916518239</t>
        </is>
      </c>
      <c r="D337" s="12" t="inlineStr">
        <is>
          <t>NEUTROFER COLINA DHA C/60 CAPS-DEMAIS PROD</t>
        </is>
      </c>
      <c r="E337" s="12" t="inlineStr">
        <is>
          <t>SIGMA PHARMA</t>
        </is>
      </c>
      <c r="F337" s="10" t="n">
        <v>1</v>
      </c>
      <c r="G337" s="13" t="n"/>
      <c r="H337" s="14" t="n"/>
      <c r="I337" s="5" t="n"/>
      <c r="J337" s="15">
        <f>IF(G337="","",F337*G337)</f>
        <v/>
      </c>
    </row>
    <row r="338">
      <c r="A338" s="16" t="n">
        <v>324</v>
      </c>
      <c r="B338" s="16" t="n">
        <v>473</v>
      </c>
      <c r="C338" s="17" t="inlineStr">
        <is>
          <t>7891010253899</t>
        </is>
      </c>
      <c r="D338" s="18" t="inlineStr">
        <is>
          <t>NEUTROG HIDRATA &amp; REPARA 200ML</t>
        </is>
      </c>
      <c r="E338" s="18" t="inlineStr">
        <is>
          <t>JOHNSON    JOHNSON</t>
        </is>
      </c>
      <c r="F338" s="16" t="n">
        <v>2</v>
      </c>
      <c r="G338" s="13" t="n"/>
      <c r="H338" s="14" t="n"/>
      <c r="I338" s="5" t="n"/>
      <c r="J338" s="19">
        <f>IF(G338="","",F338*G338)</f>
        <v/>
      </c>
    </row>
    <row r="339">
      <c r="A339" s="10" t="n">
        <v>325</v>
      </c>
      <c r="B339" s="10" t="n">
        <v>652651</v>
      </c>
      <c r="C339" s="11" t="inlineStr">
        <is>
          <t>4005900929679</t>
        </is>
      </c>
      <c r="D339" s="12" t="inlineStr">
        <is>
          <t>NIVEA VISAGE CELLULLAR LIFT EXPERT DIA SPF 30 50GRS</t>
        </is>
      </c>
      <c r="E339" s="12" t="inlineStr">
        <is>
          <t>NIVEA</t>
        </is>
      </c>
      <c r="F339" s="10" t="n">
        <v>1</v>
      </c>
      <c r="G339" s="13" t="n"/>
      <c r="H339" s="14" t="n"/>
      <c r="I339" s="5" t="n"/>
      <c r="J339" s="15">
        <f>IF(G339="","",F339*G339)</f>
        <v/>
      </c>
    </row>
    <row r="340">
      <c r="A340" s="16" t="n">
        <v>326</v>
      </c>
      <c r="B340" s="16" t="n">
        <v>652661</v>
      </c>
      <c r="C340" s="17" t="inlineStr">
        <is>
          <t>4005900929686</t>
        </is>
      </c>
      <c r="D340" s="18" t="inlineStr">
        <is>
          <t>NIVEA VISAGE CELLULLAR LIFT EXPERT NOITE 48GRS</t>
        </is>
      </c>
      <c r="E340" s="18" t="inlineStr">
        <is>
          <t>NIVEA</t>
        </is>
      </c>
      <c r="F340" s="16" t="n">
        <v>1</v>
      </c>
      <c r="G340" s="13" t="n"/>
      <c r="H340" s="14" t="n"/>
      <c r="I340" s="5" t="n"/>
      <c r="J340" s="19">
        <f>IF(G340="","",F340*G340)</f>
        <v/>
      </c>
    </row>
    <row r="341">
      <c r="A341" s="10" t="n">
        <v>327</v>
      </c>
      <c r="B341" s="10" t="n">
        <v>393401</v>
      </c>
      <c r="C341" s="11" t="inlineStr">
        <is>
          <t>7894916513661</t>
        </is>
      </c>
      <c r="D341" s="12" t="inlineStr">
        <is>
          <t>NIVUX 100+20MG CX 12 COMP</t>
        </is>
      </c>
      <c r="E341" s="12" t="inlineStr">
        <is>
          <t>SIGMA PHARMA</t>
        </is>
      </c>
      <c r="F341" s="10" t="n">
        <v>1</v>
      </c>
      <c r="G341" s="13" t="n"/>
      <c r="H341" s="14" t="n"/>
      <c r="I341" s="5" t="n"/>
      <c r="J341" s="15">
        <f>IF(G341="","",F341*G341)</f>
        <v/>
      </c>
    </row>
    <row r="342">
      <c r="A342" s="16" t="n">
        <v>328</v>
      </c>
      <c r="B342" s="16" t="n">
        <v>69161</v>
      </c>
      <c r="C342" s="17" t="inlineStr">
        <is>
          <t>7891317460532</t>
        </is>
      </c>
      <c r="D342" s="18" t="inlineStr">
        <is>
          <t>NOEX 32MCG SUS NAS FR 120 DOS</t>
        </is>
      </c>
      <c r="E342" s="18" t="inlineStr">
        <is>
          <t>EUROFARMA</t>
        </is>
      </c>
      <c r="F342" s="16" t="n">
        <v>1</v>
      </c>
      <c r="G342" s="13" t="n"/>
      <c r="H342" s="14" t="n"/>
      <c r="I342" s="5" t="n"/>
      <c r="J342" s="19">
        <f>IF(G342="","",F342*G342)</f>
        <v/>
      </c>
    </row>
    <row r="343">
      <c r="A343" s="10" t="n">
        <v>329</v>
      </c>
      <c r="B343" s="10" t="n">
        <v>652411</v>
      </c>
      <c r="C343" s="11" t="inlineStr">
        <is>
          <t>7896026100229</t>
        </is>
      </c>
      <c r="D343" s="12" t="inlineStr">
        <is>
          <t>NOPLAK SEM ALCOOL SOLUCAO 250ML</t>
        </is>
      </c>
      <c r="E343" s="12" t="inlineStr">
        <is>
          <t>MEGALABS</t>
        </is>
      </c>
      <c r="F343" s="10" t="n">
        <v>5</v>
      </c>
      <c r="G343" s="13" t="n"/>
      <c r="H343" s="14" t="n"/>
      <c r="I343" s="5" t="n"/>
      <c r="J343" s="15">
        <f>IF(G343="","",F343*G343)</f>
        <v/>
      </c>
    </row>
    <row r="344">
      <c r="A344" s="16" t="n">
        <v>330</v>
      </c>
      <c r="B344" s="16" t="n">
        <v>652331</v>
      </c>
      <c r="C344" s="17" t="inlineStr">
        <is>
          <t>7896026160018</t>
        </is>
      </c>
      <c r="D344" s="18" t="inlineStr">
        <is>
          <t>NOPLAK SOL 250ML</t>
        </is>
      </c>
      <c r="E344" s="18" t="inlineStr">
        <is>
          <t>MEGALABS</t>
        </is>
      </c>
      <c r="F344" s="16" t="n">
        <v>2</v>
      </c>
      <c r="G344" s="13" t="n"/>
      <c r="H344" s="14" t="n"/>
      <c r="I344" s="5" t="n"/>
      <c r="J344" s="19">
        <f>IF(G344="","",F344*G344)</f>
        <v/>
      </c>
    </row>
    <row r="345">
      <c r="A345" s="10" t="n">
        <v>331</v>
      </c>
      <c r="B345" s="10" t="n">
        <v>579481</v>
      </c>
      <c r="C345" s="11" t="inlineStr">
        <is>
          <t>7898581710608</t>
        </is>
      </c>
      <c r="D345" s="12" t="inlineStr">
        <is>
          <t>NORIPURUM 100+0,35MG CX 30 COMP MAST</t>
        </is>
      </c>
      <c r="E345" s="12" t="inlineStr">
        <is>
          <t>BLANVER</t>
        </is>
      </c>
      <c r="F345" s="10" t="n">
        <v>2</v>
      </c>
      <c r="G345" s="13" t="n"/>
      <c r="H345" s="14" t="n"/>
      <c r="I345" s="5" t="n"/>
      <c r="J345" s="15">
        <f>IF(G345="","",F345*G345)</f>
        <v/>
      </c>
    </row>
    <row r="346">
      <c r="A346" s="16" t="n">
        <v>332</v>
      </c>
      <c r="B346" s="16" t="n">
        <v>588811</v>
      </c>
      <c r="C346" s="17" t="inlineStr">
        <is>
          <t>7898581710547</t>
        </is>
      </c>
      <c r="D346" s="18" t="inlineStr">
        <is>
          <t>NORIPURUM 100MG CX 30 COMP MAST</t>
        </is>
      </c>
      <c r="E346" s="18" t="inlineStr">
        <is>
          <t>BLANVER</t>
        </is>
      </c>
      <c r="F346" s="16" t="n">
        <v>6</v>
      </c>
      <c r="G346" s="13" t="n"/>
      <c r="H346" s="14" t="n"/>
      <c r="I346" s="5" t="n"/>
      <c r="J346" s="19">
        <f>IF(G346="","",F346*G346)</f>
        <v/>
      </c>
    </row>
    <row r="347">
      <c r="A347" s="10" t="n">
        <v>333</v>
      </c>
      <c r="B347" s="10" t="n">
        <v>247481</v>
      </c>
      <c r="C347" s="11" t="inlineStr">
        <is>
          <t>7896641805479</t>
        </is>
      </c>
      <c r="D347" s="12" t="inlineStr">
        <is>
          <t>NORIPURUM 50MG/ML SOL OR FR GOT 30ML</t>
        </is>
      </c>
      <c r="E347" s="12" t="inlineStr">
        <is>
          <t>BLANVER</t>
        </is>
      </c>
      <c r="F347" s="10" t="n">
        <v>1</v>
      </c>
      <c r="G347" s="13" t="n"/>
      <c r="H347" s="14" t="n"/>
      <c r="I347" s="5" t="n"/>
      <c r="J347" s="15">
        <f>IF(G347="","",F347*G347)</f>
        <v/>
      </c>
    </row>
    <row r="348">
      <c r="A348" s="10" t="n">
        <v>334</v>
      </c>
      <c r="B348" s="10" t="n">
        <v>247481</v>
      </c>
      <c r="C348" s="11" t="inlineStr">
        <is>
          <t>7898581710523</t>
        </is>
      </c>
      <c r="D348" s="12" t="inlineStr">
        <is>
          <t>NORIPURUM 50MG/ML SOL OR FR GOT 30ML</t>
        </is>
      </c>
      <c r="E348" s="12" t="inlineStr">
        <is>
          <t>BLANVER</t>
        </is>
      </c>
      <c r="F348" s="10" t="n">
        <v>1</v>
      </c>
      <c r="G348" s="13" t="n"/>
      <c r="H348" s="14" t="n"/>
      <c r="I348" s="5" t="n"/>
      <c r="J348" s="15">
        <f>IF(G348="","",F348*G348)</f>
        <v/>
      </c>
    </row>
    <row r="349">
      <c r="A349" s="16" t="n">
        <v>335</v>
      </c>
      <c r="B349" s="16" t="n">
        <v>601521</v>
      </c>
      <c r="C349" s="17" t="inlineStr">
        <is>
          <t>7898581710615</t>
        </is>
      </c>
      <c r="D349" s="18" t="inlineStr">
        <is>
          <t>NORIPURUM ENDOV INJ 5 AMP X 5ML</t>
        </is>
      </c>
      <c r="E349" s="18" t="inlineStr">
        <is>
          <t>BLANVER</t>
        </is>
      </c>
      <c r="F349" s="16" t="n">
        <v>7</v>
      </c>
      <c r="G349" s="13" t="n"/>
      <c r="H349" s="14" t="n"/>
      <c r="I349" s="5" t="n"/>
      <c r="J349" s="19">
        <f>IF(G349="","",F349*G349)</f>
        <v/>
      </c>
    </row>
    <row r="350">
      <c r="A350" s="16" t="n">
        <v>336</v>
      </c>
      <c r="B350" s="16" t="n">
        <v>601521</v>
      </c>
      <c r="C350" s="17" t="inlineStr">
        <is>
          <t>7896641817502</t>
        </is>
      </c>
      <c r="D350" s="18" t="inlineStr">
        <is>
          <t>NORIPURUM ENDOV INJ 5 AMP X 5ML</t>
        </is>
      </c>
      <c r="E350" s="18" t="inlineStr">
        <is>
          <t>BLANVER</t>
        </is>
      </c>
      <c r="F350" s="16" t="n">
        <v>7</v>
      </c>
      <c r="G350" s="13" t="n"/>
      <c r="H350" s="14" t="n"/>
      <c r="I350" s="5" t="n"/>
      <c r="J350" s="19">
        <f>IF(G350="","",F350*G350)</f>
        <v/>
      </c>
    </row>
    <row r="351">
      <c r="A351" s="10" t="n">
        <v>337</v>
      </c>
      <c r="B351" s="10" t="n">
        <v>33081</v>
      </c>
      <c r="C351" s="11" t="inlineStr">
        <is>
          <t>7896658004148</t>
        </is>
      </c>
      <c r="D351" s="12" t="inlineStr">
        <is>
          <t>NOVOCILIN 875MG CX 14 COMP</t>
        </is>
      </c>
      <c r="E351" s="12" t="inlineStr">
        <is>
          <t>ACHE</t>
        </is>
      </c>
      <c r="F351" s="10" t="n">
        <v>1</v>
      </c>
      <c r="G351" s="13" t="n"/>
      <c r="H351" s="14" t="n"/>
      <c r="I351" s="5" t="n"/>
      <c r="J351" s="15">
        <f>IF(G351="","",F351*G351)</f>
        <v/>
      </c>
    </row>
    <row r="352">
      <c r="A352" s="16" t="n">
        <v>338</v>
      </c>
      <c r="B352" s="16" t="n">
        <v>669611</v>
      </c>
      <c r="C352" s="17" t="inlineStr">
        <is>
          <t>7891000417584</t>
        </is>
      </c>
      <c r="D352" s="18" t="inlineStr">
        <is>
          <t>NUTREN MULTI A-Z 30CAPS SOFTGEL</t>
        </is>
      </c>
      <c r="E352" s="18" t="inlineStr">
        <is>
          <t>NESTLE</t>
        </is>
      </c>
      <c r="F352" s="16" t="n">
        <v>1</v>
      </c>
      <c r="G352" s="13" t="n"/>
      <c r="H352" s="14" t="n"/>
      <c r="I352" s="5" t="n"/>
      <c r="J352" s="19">
        <f>IF(G352="","",F352*G352)</f>
        <v/>
      </c>
    </row>
    <row r="353">
      <c r="A353" s="10" t="n">
        <v>339</v>
      </c>
      <c r="B353" s="10" t="n">
        <v>237521</v>
      </c>
      <c r="C353" s="11" t="inlineStr">
        <is>
          <t>7898948648179</t>
        </is>
      </c>
      <c r="D353" s="12" t="inlineStr">
        <is>
          <t>OESTROGEL PUMP 0,6MG/G GEL TB 80G+VAL DOS</t>
        </is>
      </c>
      <c r="E353" s="12" t="inlineStr">
        <is>
          <t>BESINS HEALTHCARE BRASIL</t>
        </is>
      </c>
      <c r="F353" s="10" t="n">
        <v>2</v>
      </c>
      <c r="G353" s="13" t="n"/>
      <c r="H353" s="14" t="n"/>
      <c r="I353" s="5" t="n"/>
      <c r="J353" s="15">
        <f>IF(G353="","",F353*G353)</f>
        <v/>
      </c>
    </row>
    <row r="354">
      <c r="A354" s="16" t="n">
        <v>340</v>
      </c>
      <c r="B354" s="16" t="n">
        <v>652341</v>
      </c>
      <c r="C354" s="17" t="inlineStr">
        <is>
          <t>7897460401378</t>
        </is>
      </c>
      <c r="D354" s="18" t="inlineStr">
        <is>
          <t>OLIGOVIT UP C/ 60 CAPS-DEMAIS PROD</t>
        </is>
      </c>
      <c r="E354" s="18" t="inlineStr"/>
      <c r="F354" s="16" t="n">
        <v>1</v>
      </c>
      <c r="G354" s="13" t="n"/>
      <c r="H354" s="14" t="n"/>
      <c r="I354" s="5" t="n"/>
      <c r="J354" s="19">
        <f>IF(G354="","",F354*G354)</f>
        <v/>
      </c>
    </row>
    <row r="355">
      <c r="A355" s="10" t="n">
        <v>341</v>
      </c>
      <c r="B355" s="10" t="n">
        <v>644201</v>
      </c>
      <c r="C355" s="11" t="inlineStr">
        <is>
          <t>7896004775364</t>
        </is>
      </c>
      <c r="D355" s="12" t="inlineStr">
        <is>
          <t>OLMY ANLO 20+5MG CX 30 COMP REV</t>
        </is>
      </c>
      <c r="E355" s="12" t="inlineStr">
        <is>
          <t>GERMED PRESCRIÇÃO</t>
        </is>
      </c>
      <c r="F355" s="10" t="n">
        <v>2</v>
      </c>
      <c r="G355" s="13" t="n"/>
      <c r="H355" s="14" t="n"/>
      <c r="I355" s="5" t="n"/>
      <c r="J355" s="15">
        <f>IF(G355="","",F355*G355)</f>
        <v/>
      </c>
    </row>
    <row r="356">
      <c r="A356" s="16" t="n">
        <v>342</v>
      </c>
      <c r="B356" s="16" t="n">
        <v>290201</v>
      </c>
      <c r="C356" s="17" t="inlineStr">
        <is>
          <t>7894916510431</t>
        </is>
      </c>
      <c r="D356" s="18" t="inlineStr">
        <is>
          <t>OLMY HCT 40+25MG CX 10 COMP REV</t>
        </is>
      </c>
      <c r="E356" s="18" t="inlineStr">
        <is>
          <t>GERMED PRESCRIÇÃO</t>
        </is>
      </c>
      <c r="F356" s="16" t="n">
        <v>1</v>
      </c>
      <c r="G356" s="13" t="n"/>
      <c r="H356" s="14" t="n"/>
      <c r="I356" s="5" t="n"/>
      <c r="J356" s="19">
        <f>IF(G356="","",F356*G356)</f>
        <v/>
      </c>
    </row>
    <row r="357">
      <c r="A357" s="10" t="n">
        <v>343</v>
      </c>
      <c r="B357" s="10" t="n">
        <v>468981</v>
      </c>
      <c r="C357" s="11" t="inlineStr">
        <is>
          <t>7895858015824</t>
        </is>
      </c>
      <c r="D357" s="12" t="inlineStr">
        <is>
          <t>OMCILON A 1,0MG/G PAS BG 10G</t>
        </is>
      </c>
      <c r="E357" s="12" t="inlineStr">
        <is>
          <t>ASPEN PHARMA</t>
        </is>
      </c>
      <c r="F357" s="10" t="n">
        <v>3</v>
      </c>
      <c r="G357" s="13" t="n"/>
      <c r="H357" s="14" t="n"/>
      <c r="I357" s="5" t="n"/>
      <c r="J357" s="15">
        <f>IF(G357="","",F357*G357)</f>
        <v/>
      </c>
    </row>
    <row r="358">
      <c r="A358" s="16" t="n">
        <v>344</v>
      </c>
      <c r="B358" s="16" t="n">
        <v>550681</v>
      </c>
      <c r="C358" s="17" t="inlineStr">
        <is>
          <t>7897316806371</t>
        </is>
      </c>
      <c r="D358" s="18" t="inlineStr">
        <is>
          <t>OPTIVE FR 10ML</t>
        </is>
      </c>
      <c r="E358" s="18" t="inlineStr">
        <is>
          <t>ALLERGAN</t>
        </is>
      </c>
      <c r="F358" s="16" t="n">
        <v>2</v>
      </c>
      <c r="G358" s="13" t="n"/>
      <c r="H358" s="14" t="n"/>
      <c r="I358" s="5" t="n"/>
      <c r="J358" s="19">
        <f>IF(G358="","",F358*G358)</f>
        <v/>
      </c>
    </row>
    <row r="359">
      <c r="A359" s="10" t="n">
        <v>345</v>
      </c>
      <c r="B359" s="10" t="n">
        <v>179961</v>
      </c>
      <c r="C359" s="11" t="inlineStr">
        <is>
          <t>7898040321390</t>
        </is>
      </c>
      <c r="D359" s="12" t="inlineStr">
        <is>
          <t>OTO BETNOVATE 1+10+5MG/ML SOL OTO FR GTS 10ML</t>
        </is>
      </c>
      <c r="E359" s="12" t="inlineStr">
        <is>
          <t>FQM/FARMA</t>
        </is>
      </c>
      <c r="F359" s="10" t="n">
        <v>1</v>
      </c>
      <c r="G359" s="13" t="n"/>
      <c r="H359" s="14" t="n"/>
      <c r="I359" s="5" t="n"/>
      <c r="J359" s="15">
        <f>IF(G359="","",F359*G359)</f>
        <v/>
      </c>
    </row>
    <row r="360">
      <c r="A360" s="16" t="n">
        <v>346</v>
      </c>
      <c r="B360" s="16" t="n">
        <v>321581</v>
      </c>
      <c r="C360" s="17" t="inlineStr">
        <is>
          <t>7896637022439</t>
        </is>
      </c>
      <c r="D360" s="18" t="inlineStr">
        <is>
          <t>OTO-XILODASE SOL OTO FR 8ML+AMP</t>
        </is>
      </c>
      <c r="E360" s="18" t="inlineStr">
        <is>
          <t>APSEN</t>
        </is>
      </c>
      <c r="F360" s="16" t="n">
        <v>7</v>
      </c>
      <c r="G360" s="13" t="n"/>
      <c r="H360" s="14" t="n"/>
      <c r="I360" s="5" t="n"/>
      <c r="J360" s="19">
        <f>IF(G360="","",F360*G360)</f>
        <v/>
      </c>
    </row>
    <row r="361">
      <c r="A361" s="10" t="n">
        <v>347</v>
      </c>
      <c r="B361" s="10" t="n">
        <v>137841</v>
      </c>
      <c r="C361" s="11" t="inlineStr">
        <is>
          <t>7898040324223</t>
        </is>
      </c>
      <c r="D361" s="12" t="inlineStr">
        <is>
          <t>OTOCIRIAX 2,0MG+10MG/ML CX 5ML</t>
        </is>
      </c>
      <c r="E361" s="12" t="inlineStr">
        <is>
          <t>FQM/FARMA</t>
        </is>
      </c>
      <c r="F361" s="10" t="n">
        <v>1</v>
      </c>
      <c r="G361" s="13" t="n"/>
      <c r="H361" s="14" t="n"/>
      <c r="I361" s="5" t="n"/>
      <c r="J361" s="15">
        <f>IF(G361="","",F361*G361)</f>
        <v/>
      </c>
    </row>
    <row r="362">
      <c r="A362" s="16" t="n">
        <v>348</v>
      </c>
      <c r="B362" s="16" t="n">
        <v>452561</v>
      </c>
      <c r="C362" s="17" t="inlineStr">
        <is>
          <t>7898040320942</t>
        </is>
      </c>
      <c r="D362" s="18" t="inlineStr">
        <is>
          <t>OTOSPORIN SOL OTO FR GTS 10ML</t>
        </is>
      </c>
      <c r="E362" s="18" t="inlineStr">
        <is>
          <t>FQM/FARMA</t>
        </is>
      </c>
      <c r="F362" s="16" t="n">
        <v>2</v>
      </c>
      <c r="G362" s="13" t="n"/>
      <c r="H362" s="14" t="n"/>
      <c r="I362" s="5" t="n"/>
      <c r="J362" s="19">
        <f>IF(G362="","",F362*G362)</f>
        <v/>
      </c>
    </row>
    <row r="363">
      <c r="A363" s="10" t="n">
        <v>349</v>
      </c>
      <c r="B363" s="10" t="n">
        <v>653701</v>
      </c>
      <c r="C363" s="11" t="inlineStr">
        <is>
          <t>7898639690999</t>
        </is>
      </c>
      <c r="D363" s="12" t="inlineStr">
        <is>
          <t>OXIMETRO DE DEDO LED OXILED1</t>
        </is>
      </c>
      <c r="E363" s="12" t="inlineStr">
        <is>
          <t>G-TECH</t>
        </is>
      </c>
      <c r="F363" s="10" t="n">
        <v>2</v>
      </c>
      <c r="G363" s="13" t="n"/>
      <c r="H363" s="14" t="n"/>
      <c r="I363" s="5" t="n"/>
      <c r="J363" s="15">
        <f>IF(G363="","",F363*G363)</f>
        <v/>
      </c>
    </row>
    <row r="364">
      <c r="A364" s="16" t="n">
        <v>350</v>
      </c>
      <c r="B364" s="16" t="n">
        <v>398941</v>
      </c>
      <c r="C364" s="17" t="inlineStr">
        <is>
          <t>7891317000035</t>
        </is>
      </c>
      <c r="D364" s="18" t="inlineStr">
        <is>
          <t>PACO 500MG+30MG CX 12 COMP</t>
        </is>
      </c>
      <c r="E364" s="18" t="inlineStr">
        <is>
          <t>EUROFARMA</t>
        </is>
      </c>
      <c r="F364" s="16" t="n">
        <v>3</v>
      </c>
      <c r="G364" s="13" t="n"/>
      <c r="H364" s="14" t="n"/>
      <c r="I364" s="5" t="n"/>
      <c r="J364" s="19">
        <f>IF(G364="","",F364*G364)</f>
        <v/>
      </c>
    </row>
    <row r="365">
      <c r="A365" s="10" t="n">
        <v>351</v>
      </c>
      <c r="B365" s="10" t="n">
        <v>398921</v>
      </c>
      <c r="C365" s="11" t="inlineStr">
        <is>
          <t>7891317000042</t>
        </is>
      </c>
      <c r="D365" s="12" t="inlineStr">
        <is>
          <t>PACO 500MG+30MG CX 24 COMP</t>
        </is>
      </c>
      <c r="E365" s="12" t="inlineStr">
        <is>
          <t>EUROFARMA</t>
        </is>
      </c>
      <c r="F365" s="10" t="n">
        <v>5</v>
      </c>
      <c r="G365" s="13" t="n"/>
      <c r="H365" s="14" t="n"/>
      <c r="I365" s="5" t="n"/>
      <c r="J365" s="15">
        <f>IF(G365="","",F365*G365)</f>
        <v/>
      </c>
    </row>
    <row r="366">
      <c r="A366" s="16" t="n">
        <v>352</v>
      </c>
      <c r="B366" s="16" t="n">
        <v>565041</v>
      </c>
      <c r="C366" s="17" t="inlineStr">
        <is>
          <t>78900813</t>
        </is>
      </c>
      <c r="D366" s="18" t="inlineStr">
        <is>
          <t>PASTILHAS VALDA CLASSIC 24G</t>
        </is>
      </c>
      <c r="E366" s="18" t="inlineStr">
        <is>
          <t>CANONNE</t>
        </is>
      </c>
      <c r="F366" s="16" t="n">
        <v>1</v>
      </c>
      <c r="G366" s="13" t="n"/>
      <c r="H366" s="14" t="n"/>
      <c r="I366" s="5" t="n"/>
      <c r="J366" s="19">
        <f>IF(G366="","",F366*G366)</f>
        <v/>
      </c>
    </row>
    <row r="367">
      <c r="A367" s="10" t="n">
        <v>353</v>
      </c>
      <c r="B367" s="10" t="n">
        <v>163881</v>
      </c>
      <c r="C367" s="11" t="inlineStr">
        <is>
          <t>7896548140581</t>
        </is>
      </c>
      <c r="D367" s="12" t="inlineStr">
        <is>
          <t>PATANOL S 2MG/ML SOL OFT FR GTS 2,5ML</t>
        </is>
      </c>
      <c r="E367" s="12" t="inlineStr">
        <is>
          <t>NOVARTIS</t>
        </is>
      </c>
      <c r="F367" s="10" t="n">
        <v>2</v>
      </c>
      <c r="G367" s="13" t="n"/>
      <c r="H367" s="14" t="n"/>
      <c r="I367" s="5" t="n"/>
      <c r="J367" s="15">
        <f>IF(G367="","",F367*G367)</f>
        <v/>
      </c>
    </row>
    <row r="368">
      <c r="A368" s="16" t="n">
        <v>354</v>
      </c>
      <c r="B368" s="16" t="n">
        <v>652011</v>
      </c>
      <c r="C368" s="17" t="inlineStr">
        <is>
          <t>7891158106460</t>
        </is>
      </c>
      <c r="D368" s="18" t="inlineStr">
        <is>
          <t>PEDIALYTE MAX COCO 500ML</t>
        </is>
      </c>
      <c r="E368" s="18" t="inlineStr"/>
      <c r="F368" s="16" t="n">
        <v>2</v>
      </c>
      <c r="G368" s="13" t="n"/>
      <c r="H368" s="14" t="n"/>
      <c r="I368" s="5" t="n"/>
      <c r="J368" s="19">
        <f>IF(G368="","",F368*G368)</f>
        <v/>
      </c>
    </row>
    <row r="369">
      <c r="A369" s="10" t="n">
        <v>355</v>
      </c>
      <c r="B369" s="10" t="n">
        <v>626361</v>
      </c>
      <c r="C369" s="11" t="inlineStr">
        <is>
          <t>7891158106477</t>
        </is>
      </c>
      <c r="D369" s="12" t="inlineStr">
        <is>
          <t>PEDIALYTE MAX SOL OR FR 500ML SB MACA</t>
        </is>
      </c>
      <c r="E369" s="12" t="inlineStr">
        <is>
          <t>ABBOTT</t>
        </is>
      </c>
      <c r="F369" s="10" t="n">
        <v>3</v>
      </c>
      <c r="G369" s="13" t="n"/>
      <c r="H369" s="14" t="n"/>
      <c r="I369" s="5" t="n"/>
      <c r="J369" s="15">
        <f>IF(G369="","",F369*G369)</f>
        <v/>
      </c>
    </row>
    <row r="370">
      <c r="A370" s="16" t="n">
        <v>356</v>
      </c>
      <c r="B370" s="16" t="n">
        <v>626351</v>
      </c>
      <c r="C370" s="17" t="inlineStr">
        <is>
          <t>7891158106453</t>
        </is>
      </c>
      <c r="D370" s="18" t="inlineStr">
        <is>
          <t>PEDIALYTE MAX SOL OR FR 500ML SB MORANGO</t>
        </is>
      </c>
      <c r="E370" s="18" t="inlineStr">
        <is>
          <t>ABBOTT</t>
        </is>
      </c>
      <c r="F370" s="16" t="n">
        <v>9</v>
      </c>
      <c r="G370" s="13" t="n"/>
      <c r="H370" s="14" t="n"/>
      <c r="I370" s="5" t="n"/>
      <c r="J370" s="19">
        <f>IF(G370="","",F370*G370)</f>
        <v/>
      </c>
    </row>
    <row r="371">
      <c r="A371" s="10" t="n">
        <v>357</v>
      </c>
      <c r="B371" s="10" t="n">
        <v>626341</v>
      </c>
      <c r="C371" s="11" t="inlineStr">
        <is>
          <t>7891158106446</t>
        </is>
      </c>
      <c r="D371" s="12" t="inlineStr">
        <is>
          <t>PEDIALYTE MAX SOL OR FR 500ML SB UVA</t>
        </is>
      </c>
      <c r="E371" s="12" t="inlineStr">
        <is>
          <t>ABBOTT</t>
        </is>
      </c>
      <c r="F371" s="10" t="n">
        <v>2</v>
      </c>
      <c r="G371" s="13" t="n"/>
      <c r="H371" s="14" t="n"/>
      <c r="I371" s="5" t="n"/>
      <c r="J371" s="15">
        <f>IF(G371="","",F371*G371)</f>
        <v/>
      </c>
    </row>
    <row r="372">
      <c r="A372" s="16" t="n">
        <v>358</v>
      </c>
      <c r="B372" s="16" t="n">
        <v>17603</v>
      </c>
      <c r="C372" s="17" t="inlineStr">
        <is>
          <t>7896026172356</t>
        </is>
      </c>
      <c r="D372" s="18" t="inlineStr">
        <is>
          <t>PENETRO SPRAY 50ML</t>
        </is>
      </c>
      <c r="E372" s="18" t="inlineStr"/>
      <c r="F372" s="16" t="n">
        <v>1</v>
      </c>
      <c r="G372" s="13" t="n"/>
      <c r="H372" s="14" t="n"/>
      <c r="I372" s="5" t="n"/>
      <c r="J372" s="19">
        <f>IF(G372="","",F372*G372)</f>
        <v/>
      </c>
    </row>
    <row r="373">
      <c r="A373" s="10" t="n">
        <v>359</v>
      </c>
      <c r="B373" s="10" t="n">
        <v>594751</v>
      </c>
      <c r="C373" s="11" t="inlineStr">
        <is>
          <t>7891024179925</t>
        </is>
      </c>
      <c r="D373" s="12" t="inlineStr">
        <is>
          <t>PERIOGARD S/ALCOOL 250ML</t>
        </is>
      </c>
      <c r="E373" s="12" t="inlineStr">
        <is>
          <t>COLGATE PALMOLIVE</t>
        </is>
      </c>
      <c r="F373" s="10" t="n">
        <v>8</v>
      </c>
      <c r="G373" s="13" t="n"/>
      <c r="H373" s="14" t="n"/>
      <c r="I373" s="5" t="n"/>
      <c r="J373" s="15">
        <f>IF(G373="","",F373*G373)</f>
        <v/>
      </c>
    </row>
    <row r="374">
      <c r="A374" s="16" t="n">
        <v>360</v>
      </c>
      <c r="B374" s="16" t="n">
        <v>578161</v>
      </c>
      <c r="C374" s="17" t="inlineStr">
        <is>
          <t>7891317015343</t>
        </is>
      </c>
      <c r="D374" s="18" t="inlineStr">
        <is>
          <t>PERMESE 5MG/ML+2MG/ML SUS INJ AMP 1ML+SER SIST SEG</t>
        </is>
      </c>
      <c r="E374" s="18" t="inlineStr">
        <is>
          <t>MOMENTA</t>
        </is>
      </c>
      <c r="F374" s="16" t="n">
        <v>1</v>
      </c>
      <c r="G374" s="13" t="n"/>
      <c r="H374" s="14" t="n"/>
      <c r="I374" s="5" t="n"/>
      <c r="J374" s="19">
        <f>IF(G374="","",F374*G374)</f>
        <v/>
      </c>
    </row>
    <row r="375">
      <c r="A375" s="10" t="n">
        <v>361</v>
      </c>
      <c r="B375" s="10" t="n">
        <v>217941</v>
      </c>
      <c r="C375" s="11" t="inlineStr">
        <is>
          <t>7891317140533</t>
        </is>
      </c>
      <c r="D375" s="12" t="inlineStr">
        <is>
          <t>PIETRA ED 2MG CX 30 COMP REV</t>
        </is>
      </c>
      <c r="E375" s="12" t="inlineStr">
        <is>
          <t>EUROFARMA</t>
        </is>
      </c>
      <c r="F375" s="10" t="n">
        <v>1</v>
      </c>
      <c r="G375" s="13" t="n"/>
      <c r="H375" s="14" t="n"/>
      <c r="I375" s="5" t="n"/>
      <c r="J375" s="15">
        <f>IF(G375="","",F375*G375)</f>
        <v/>
      </c>
    </row>
    <row r="376">
      <c r="A376" s="16" t="n">
        <v>362</v>
      </c>
      <c r="B376" s="16" t="n">
        <v>159781</v>
      </c>
      <c r="C376" s="17" t="inlineStr">
        <is>
          <t>7891058059149</t>
        </is>
      </c>
      <c r="D376" s="18" t="inlineStr">
        <is>
          <t>PLASIL 10MG CX 20 COMP</t>
        </is>
      </c>
      <c r="E376" s="18" t="inlineStr">
        <is>
          <t>SANOFI/MEDLEY</t>
        </is>
      </c>
      <c r="F376" s="16" t="n">
        <v>8</v>
      </c>
      <c r="G376" s="13" t="n"/>
      <c r="H376" s="14" t="n"/>
      <c r="I376" s="5" t="n"/>
      <c r="J376" s="19">
        <f>IF(G376="","",F376*G376)</f>
        <v/>
      </c>
    </row>
    <row r="377">
      <c r="A377" s="10" t="n">
        <v>363</v>
      </c>
      <c r="B377" s="10" t="n">
        <v>115101</v>
      </c>
      <c r="C377" s="11" t="inlineStr">
        <is>
          <t>0000078905108</t>
        </is>
      </c>
      <c r="D377" s="12" t="inlineStr">
        <is>
          <t>POMADA MINANCORA 20%+0,5%+5% POM DERM BG 30G</t>
        </is>
      </c>
      <c r="E377" s="12" t="inlineStr">
        <is>
          <t>MINANCORA</t>
        </is>
      </c>
      <c r="F377" s="10" t="n">
        <v>4</v>
      </c>
      <c r="G377" s="13" t="n"/>
      <c r="H377" s="14" t="n"/>
      <c r="I377" s="5" t="n"/>
      <c r="J377" s="15">
        <f>IF(G377="","",F377*G377)</f>
        <v/>
      </c>
    </row>
    <row r="378">
      <c r="A378" s="16" t="n">
        <v>364</v>
      </c>
      <c r="B378" s="16" t="n">
        <v>284281</v>
      </c>
      <c r="C378" s="17" t="inlineStr">
        <is>
          <t>7896637025362</t>
        </is>
      </c>
      <c r="D378" s="18" t="inlineStr">
        <is>
          <t>POSTEC 2,5MG+150UTR POM DERM BG 20G</t>
        </is>
      </c>
      <c r="E378" s="18" t="inlineStr">
        <is>
          <t>APSEN</t>
        </is>
      </c>
      <c r="F378" s="16" t="n">
        <v>1</v>
      </c>
      <c r="G378" s="13" t="n"/>
      <c r="H378" s="14" t="n"/>
      <c r="I378" s="5" t="n"/>
      <c r="J378" s="19">
        <f>IF(G378="","",F378*G378)</f>
        <v/>
      </c>
    </row>
    <row r="379">
      <c r="A379" s="10" t="n">
        <v>365</v>
      </c>
      <c r="B379" s="10" t="n">
        <v>255821</v>
      </c>
      <c r="C379" s="11" t="inlineStr">
        <is>
          <t>7891317004163</t>
        </is>
      </c>
      <c r="D379" s="12" t="inlineStr">
        <is>
          <t>PRENI 11MG/ML SOL OR FR GOT 20ML</t>
        </is>
      </c>
      <c r="E379" s="12" t="inlineStr">
        <is>
          <t>EUROFARMA</t>
        </is>
      </c>
      <c r="F379" s="10" t="n">
        <v>1</v>
      </c>
      <c r="G379" s="13" t="n"/>
      <c r="H379" s="14" t="n"/>
      <c r="I379" s="5" t="n"/>
      <c r="J379" s="15">
        <f>IF(G379="","",F379*G379)</f>
        <v/>
      </c>
    </row>
    <row r="380">
      <c r="A380" s="16" t="n">
        <v>366</v>
      </c>
      <c r="B380" s="16" t="n">
        <v>408261</v>
      </c>
      <c r="C380" s="17" t="inlineStr">
        <is>
          <t>7891317004095</t>
        </is>
      </c>
      <c r="D380" s="18" t="inlineStr">
        <is>
          <t>PRENI 20MG CX 10 COMP</t>
        </is>
      </c>
      <c r="E380" s="18" t="inlineStr">
        <is>
          <t>EUROFARMA</t>
        </is>
      </c>
      <c r="F380" s="16" t="n">
        <v>1</v>
      </c>
      <c r="G380" s="13" t="n"/>
      <c r="H380" s="14" t="n"/>
      <c r="I380" s="5" t="n"/>
      <c r="J380" s="19">
        <f>IF(G380="","",F380*G380)</f>
        <v/>
      </c>
    </row>
    <row r="381">
      <c r="A381" s="10" t="n">
        <v>367</v>
      </c>
      <c r="B381" s="10" t="n">
        <v>613011</v>
      </c>
      <c r="C381" s="11" t="inlineStr">
        <is>
          <t>7891317476410</t>
        </is>
      </c>
      <c r="D381" s="12" t="inlineStr">
        <is>
          <t>PRENI 3MG/ML SOL OR FR 120ML+SER DOS</t>
        </is>
      </c>
      <c r="E381" s="12" t="inlineStr">
        <is>
          <t>EUROFARMA</t>
        </is>
      </c>
      <c r="F381" s="10" t="n">
        <v>1</v>
      </c>
      <c r="G381" s="13" t="n"/>
      <c r="H381" s="14" t="n"/>
      <c r="I381" s="5" t="n"/>
      <c r="J381" s="15">
        <f>IF(G381="","",F381*G381)</f>
        <v/>
      </c>
    </row>
    <row r="382">
      <c r="A382" s="16" t="n">
        <v>368</v>
      </c>
      <c r="B382" s="16" t="n">
        <v>256001</v>
      </c>
      <c r="C382" s="17" t="inlineStr">
        <is>
          <t>7891317004217</t>
        </is>
      </c>
      <c r="D382" s="18" t="inlineStr">
        <is>
          <t>PRENI 3MG/ML SOL OR FR 60ML+SER DOS</t>
        </is>
      </c>
      <c r="E382" s="18" t="inlineStr">
        <is>
          <t>EUROFARMA</t>
        </is>
      </c>
      <c r="F382" s="16" t="n">
        <v>1</v>
      </c>
      <c r="G382" s="13" t="n"/>
      <c r="H382" s="14" t="n"/>
      <c r="I382" s="5" t="n"/>
      <c r="J382" s="19">
        <f>IF(G382="","",F382*G382)</f>
        <v/>
      </c>
    </row>
    <row r="383">
      <c r="A383" s="10" t="n">
        <v>369</v>
      </c>
      <c r="B383" s="10" t="n">
        <v>205761</v>
      </c>
      <c r="C383" s="11" t="inlineStr">
        <is>
          <t>7891317177652</t>
        </is>
      </c>
      <c r="D383" s="12" t="inlineStr">
        <is>
          <t>PRIMERA 0,150+0,020MG CAIXA C/ 3 CARTELAS</t>
        </is>
      </c>
      <c r="E383" s="12" t="inlineStr">
        <is>
          <t>EUROFARMA</t>
        </is>
      </c>
      <c r="F383" s="10" t="n">
        <v>1</v>
      </c>
      <c r="G383" s="13" t="n"/>
      <c r="H383" s="14" t="n"/>
      <c r="I383" s="5" t="n"/>
      <c r="J383" s="15">
        <f>IF(G383="","",F383*G383)</f>
        <v/>
      </c>
    </row>
    <row r="384">
      <c r="A384" s="16" t="n">
        <v>370</v>
      </c>
      <c r="B384" s="16" t="n">
        <v>563381</v>
      </c>
      <c r="C384" s="17" t="inlineStr">
        <is>
          <t>7891106914048</t>
        </is>
      </c>
      <c r="D384" s="18" t="inlineStr">
        <is>
          <t>PRIMOGYNA 2MG CX 28 DRG</t>
        </is>
      </c>
      <c r="E384" s="18" t="inlineStr">
        <is>
          <t>BAYER</t>
        </is>
      </c>
      <c r="F384" s="16" t="n">
        <v>1</v>
      </c>
      <c r="G384" s="13" t="n"/>
      <c r="H384" s="14" t="n"/>
      <c r="I384" s="5" t="n"/>
      <c r="J384" s="19">
        <f>IF(G384="","",F384*G384)</f>
        <v/>
      </c>
    </row>
    <row r="385">
      <c r="A385" s="10" t="n">
        <v>371</v>
      </c>
      <c r="B385" s="10" t="n">
        <v>644221</v>
      </c>
      <c r="C385" s="11" t="inlineStr">
        <is>
          <t>7898636193622</t>
        </is>
      </c>
      <c r="D385" s="12" t="inlineStr">
        <is>
          <t>PROCTAN 25G C/ 10 LUVAS-OUTROS</t>
        </is>
      </c>
      <c r="E385" s="12" t="inlineStr">
        <is>
          <t>GENOMA</t>
        </is>
      </c>
      <c r="F385" s="10" t="n">
        <v>4</v>
      </c>
      <c r="G385" s="13" t="n"/>
      <c r="H385" s="14" t="n"/>
      <c r="I385" s="5" t="n"/>
      <c r="J385" s="15">
        <f>IF(G385="","",F385*G385)</f>
        <v/>
      </c>
    </row>
    <row r="386">
      <c r="A386" s="16" t="n">
        <v>372</v>
      </c>
      <c r="B386" s="16" t="n">
        <v>543021</v>
      </c>
      <c r="C386" s="17" t="inlineStr">
        <is>
          <t>7898949409465</t>
        </is>
      </c>
      <c r="D386" s="18" t="inlineStr">
        <is>
          <t>PROCTAN 25G POMADA GENO %DN:0.00</t>
        </is>
      </c>
      <c r="E386" s="18" t="inlineStr">
        <is>
          <t>GENOMA</t>
        </is>
      </c>
      <c r="F386" s="16" t="n">
        <v>8</v>
      </c>
      <c r="G386" s="13" t="n"/>
      <c r="H386" s="14" t="n"/>
      <c r="I386" s="5" t="n"/>
      <c r="J386" s="19">
        <f>IF(G386="","",F386*G386)</f>
        <v/>
      </c>
    </row>
    <row r="387">
      <c r="A387" s="10" t="n">
        <v>373</v>
      </c>
      <c r="B387" s="10" t="n">
        <v>405861</v>
      </c>
      <c r="C387" s="11" t="inlineStr">
        <is>
          <t>7896641801792</t>
        </is>
      </c>
      <c r="D387" s="12" t="inlineStr">
        <is>
          <t>PROCTYL POM BG 30G</t>
        </is>
      </c>
      <c r="E387" s="12" t="inlineStr">
        <is>
          <t>TAKEDA PHARMA</t>
        </is>
      </c>
      <c r="F387" s="10" t="n">
        <v>2</v>
      </c>
      <c r="G387" s="13" t="n"/>
      <c r="H387" s="14" t="n"/>
      <c r="I387" s="5" t="n"/>
      <c r="J387" s="15">
        <f>IF(G387="","",F387*G387)</f>
        <v/>
      </c>
    </row>
    <row r="388">
      <c r="A388" s="16" t="n">
        <v>374</v>
      </c>
      <c r="B388" s="16" t="n">
        <v>3441</v>
      </c>
      <c r="C388" s="17" t="inlineStr">
        <is>
          <t>7891317411923</t>
        </is>
      </c>
      <c r="D388" s="18" t="inlineStr">
        <is>
          <t>PROFLAM 100MG CX 12 COMP</t>
        </is>
      </c>
      <c r="E388" s="18" t="inlineStr">
        <is>
          <t>EUROFARMA</t>
        </is>
      </c>
      <c r="F388" s="16" t="n">
        <v>1</v>
      </c>
      <c r="G388" s="13" t="n"/>
      <c r="H388" s="14" t="n"/>
      <c r="I388" s="5" t="n"/>
      <c r="J388" s="19">
        <f>IF(G388="","",F388*G388)</f>
        <v/>
      </c>
    </row>
    <row r="389">
      <c r="A389" s="10" t="n">
        <v>375</v>
      </c>
      <c r="B389" s="10" t="n">
        <v>641841</v>
      </c>
      <c r="C389" s="11" t="inlineStr">
        <is>
          <t>7896658036385</t>
        </is>
      </c>
      <c r="D389" s="12" t="inlineStr">
        <is>
          <t>PROHN BL 15 COMP</t>
        </is>
      </c>
      <c r="E389" s="12" t="inlineStr">
        <is>
          <t>ACHE</t>
        </is>
      </c>
      <c r="F389" s="10" t="n">
        <v>1</v>
      </c>
      <c r="G389" s="13" t="n"/>
      <c r="H389" s="14" t="n"/>
      <c r="I389" s="5" t="n"/>
      <c r="J389" s="15">
        <f>IF(G389="","",F389*G389)</f>
        <v/>
      </c>
    </row>
    <row r="390">
      <c r="A390" s="16" t="n">
        <v>376</v>
      </c>
      <c r="B390" s="16" t="n">
        <v>673471</v>
      </c>
      <c r="C390" s="17" t="inlineStr">
        <is>
          <t>7896658052095</t>
        </is>
      </c>
      <c r="D390" s="18" t="inlineStr">
        <is>
          <t>PROLIVE FEMME C/10 CAPS-DEMAIS PROD</t>
        </is>
      </c>
      <c r="E390" s="18" t="inlineStr">
        <is>
          <t>ACHE</t>
        </is>
      </c>
      <c r="F390" s="16" t="n">
        <v>2</v>
      </c>
      <c r="G390" s="13" t="n"/>
      <c r="H390" s="14" t="n"/>
      <c r="I390" s="5" t="n"/>
      <c r="J390" s="19">
        <f>IF(G390="","",F390*G390)</f>
        <v/>
      </c>
    </row>
    <row r="391">
      <c r="A391" s="10" t="n">
        <v>377</v>
      </c>
      <c r="B391" s="10" t="n">
        <v>641821</v>
      </c>
      <c r="C391" s="11" t="inlineStr">
        <is>
          <t>7897732609464</t>
        </is>
      </c>
      <c r="D391" s="12" t="inlineStr">
        <is>
          <t>PROPZINCO SPR MENTA 30ML</t>
        </is>
      </c>
      <c r="E391" s="12" t="inlineStr">
        <is>
          <t>THEODORO F SOBRAL   CIA</t>
        </is>
      </c>
      <c r="F391" s="10" t="n">
        <v>2</v>
      </c>
      <c r="G391" s="13" t="n"/>
      <c r="H391" s="14" t="n"/>
      <c r="I391" s="5" t="n"/>
      <c r="J391" s="15">
        <f>IF(G391="","",F391*G391)</f>
        <v/>
      </c>
    </row>
    <row r="392">
      <c r="A392" s="16" t="n">
        <v>378</v>
      </c>
      <c r="B392" s="16" t="n">
        <v>623561</v>
      </c>
      <c r="C392" s="17" t="inlineStr">
        <is>
          <t>4005900921574</t>
        </is>
      </c>
      <c r="D392" s="18" t="inlineStr">
        <is>
          <t>PROT LABIAL COLOR VERMELHO 4,8G-DEMAIS PROD</t>
        </is>
      </c>
      <c r="E392" s="18" t="inlineStr">
        <is>
          <t>NIVEA</t>
        </is>
      </c>
      <c r="F392" s="16" t="n">
        <v>1</v>
      </c>
      <c r="G392" s="13" t="n"/>
      <c r="H392" s="14" t="n"/>
      <c r="I392" s="5" t="n"/>
      <c r="J392" s="19">
        <f>IF(G392="","",F392*G392)</f>
        <v/>
      </c>
    </row>
    <row r="393">
      <c r="A393" s="10" t="n">
        <v>379</v>
      </c>
      <c r="B393" s="10" t="n">
        <v>566961</v>
      </c>
      <c r="C393" s="11" t="inlineStr">
        <is>
          <t>4005808555345</t>
        </is>
      </c>
      <c r="D393" s="12" t="inlineStr">
        <is>
          <t>PROT NIVEA SOLAR SUN PROT  HIDRAT FPS50 200ML</t>
        </is>
      </c>
      <c r="E393" s="12" t="inlineStr">
        <is>
          <t>NIVEA</t>
        </is>
      </c>
      <c r="F393" s="10" t="n">
        <v>1</v>
      </c>
      <c r="G393" s="13" t="n"/>
      <c r="H393" s="14" t="n"/>
      <c r="I393" s="5" t="n"/>
      <c r="J393" s="15">
        <f>IF(G393="","",F393*G393)</f>
        <v/>
      </c>
    </row>
    <row r="394">
      <c r="A394" s="10" t="n">
        <v>380</v>
      </c>
      <c r="B394" s="10" t="n">
        <v>566961</v>
      </c>
      <c r="C394" s="11" t="inlineStr">
        <is>
          <t>4005900695536</t>
        </is>
      </c>
      <c r="D394" s="12" t="inlineStr">
        <is>
          <t>PROT NIVEA SOLAR SUN PROT  HIDRAT FPS50 200ML</t>
        </is>
      </c>
      <c r="E394" s="12" t="inlineStr">
        <is>
          <t>NIVEA</t>
        </is>
      </c>
      <c r="F394" s="10" t="n">
        <v>1</v>
      </c>
      <c r="G394" s="13" t="n"/>
      <c r="H394" s="14" t="n"/>
      <c r="I394" s="5" t="n"/>
      <c r="J394" s="15">
        <f>IF(G394="","",F394*G394)</f>
        <v/>
      </c>
    </row>
    <row r="395">
      <c r="A395" s="10" t="n">
        <v>381</v>
      </c>
      <c r="B395" s="10" t="n">
        <v>566961</v>
      </c>
      <c r="C395" s="11" t="inlineStr">
        <is>
          <t>4005900709752</t>
        </is>
      </c>
      <c r="D395" s="12" t="inlineStr">
        <is>
          <t>PROT NIVEA SOLAR SUN PROT  HIDRAT FPS50 200ML</t>
        </is>
      </c>
      <c r="E395" s="12" t="inlineStr">
        <is>
          <t>NIVEA</t>
        </is>
      </c>
      <c r="F395" s="10" t="n">
        <v>1</v>
      </c>
      <c r="G395" s="13" t="n"/>
      <c r="H395" s="14" t="n"/>
      <c r="I395" s="5" t="n"/>
      <c r="J395" s="15">
        <f>IF(G395="","",F395*G395)</f>
        <v/>
      </c>
    </row>
    <row r="396">
      <c r="A396" s="16" t="n">
        <v>382</v>
      </c>
      <c r="B396" s="16" t="n">
        <v>615391</v>
      </c>
      <c r="C396" s="17" t="inlineStr">
        <is>
          <t>4005900980397</t>
        </is>
      </c>
      <c r="D396" s="18" t="inlineStr">
        <is>
          <t>PROT NIVEA SUN FACIAL TOQUE SECO FPS70 40ML</t>
        </is>
      </c>
      <c r="E396" s="18" t="inlineStr">
        <is>
          <t>NIVEA</t>
        </is>
      </c>
      <c r="F396" s="16" t="n">
        <v>3</v>
      </c>
      <c r="G396" s="13" t="n"/>
      <c r="H396" s="14" t="n"/>
      <c r="I396" s="5" t="n"/>
      <c r="J396" s="19">
        <f>IF(G396="","",F396*G396)</f>
        <v/>
      </c>
    </row>
    <row r="397">
      <c r="A397" s="10" t="n">
        <v>383</v>
      </c>
      <c r="B397" s="10" t="n">
        <v>69321</v>
      </c>
      <c r="C397" s="11" t="inlineStr">
        <is>
          <t>7896206402013</t>
        </is>
      </c>
      <c r="D397" s="12" t="inlineStr">
        <is>
          <t>PULMICORT 0,25MG SUS NEB CX 5 FR X 2ML</t>
        </is>
      </c>
      <c r="E397" s="12" t="inlineStr">
        <is>
          <t>ASTRAZENECA</t>
        </is>
      </c>
      <c r="F397" s="10" t="n">
        <v>3</v>
      </c>
      <c r="G397" s="13" t="n"/>
      <c r="H397" s="14" t="n"/>
      <c r="I397" s="5" t="n"/>
      <c r="J397" s="15">
        <f>IF(G397="","",F397*G397)</f>
        <v/>
      </c>
    </row>
    <row r="398">
      <c r="A398" s="16" t="n">
        <v>384</v>
      </c>
      <c r="B398" s="16" t="n">
        <v>500261</v>
      </c>
      <c r="C398" s="17" t="inlineStr">
        <is>
          <t>7897595901033</t>
        </is>
      </c>
      <c r="D398" s="18" t="inlineStr">
        <is>
          <t>PURAN T4 100MCG CX 30 COMP</t>
        </is>
      </c>
      <c r="E398" s="18" t="inlineStr">
        <is>
          <t>SANOFI/MEDLEY</t>
        </is>
      </c>
      <c r="F398" s="16" t="n">
        <v>4</v>
      </c>
      <c r="G398" s="13" t="n"/>
      <c r="H398" s="14" t="n"/>
      <c r="I398" s="5" t="n"/>
      <c r="J398" s="19">
        <f>IF(G398="","",F398*G398)</f>
        <v/>
      </c>
    </row>
    <row r="399">
      <c r="A399" s="10" t="n">
        <v>385</v>
      </c>
      <c r="B399" s="10" t="n">
        <v>500281</v>
      </c>
      <c r="C399" s="11" t="inlineStr">
        <is>
          <t>7897595901446</t>
        </is>
      </c>
      <c r="D399" s="12" t="inlineStr">
        <is>
          <t>PURAN T4 125MCG CX 30 COMP</t>
        </is>
      </c>
      <c r="E399" s="12" t="inlineStr">
        <is>
          <t>SANOFI/MEDLEY</t>
        </is>
      </c>
      <c r="F399" s="10" t="n">
        <v>4</v>
      </c>
      <c r="G399" s="13" t="n"/>
      <c r="H399" s="14" t="n"/>
      <c r="I399" s="5" t="n"/>
      <c r="J399" s="15">
        <f>IF(G399="","",F399*G399)</f>
        <v/>
      </c>
    </row>
    <row r="400">
      <c r="A400" s="16" t="n">
        <v>386</v>
      </c>
      <c r="B400" s="16" t="n">
        <v>500301</v>
      </c>
      <c r="C400" s="17" t="inlineStr">
        <is>
          <t>7897595901330</t>
        </is>
      </c>
      <c r="D400" s="18" t="inlineStr">
        <is>
          <t>PURAN T4 150MCG CX 30 COMP</t>
        </is>
      </c>
      <c r="E400" s="18" t="inlineStr">
        <is>
          <t>SANOFI/MEDLEY</t>
        </is>
      </c>
      <c r="F400" s="16" t="n">
        <v>2</v>
      </c>
      <c r="G400" s="13" t="n"/>
      <c r="H400" s="14" t="n"/>
      <c r="I400" s="5" t="n"/>
      <c r="J400" s="19">
        <f>IF(G400="","",F400*G400)</f>
        <v/>
      </c>
    </row>
    <row r="401">
      <c r="A401" s="10" t="n">
        <v>387</v>
      </c>
      <c r="B401" s="10" t="n">
        <v>500201</v>
      </c>
      <c r="C401" s="11" t="inlineStr">
        <is>
          <t>7897595901309</t>
        </is>
      </c>
      <c r="D401" s="12" t="inlineStr">
        <is>
          <t>PURAN T4 25MCG CX 30 COMP</t>
        </is>
      </c>
      <c r="E401" s="12" t="inlineStr">
        <is>
          <t>SANOFI/MEDLEY</t>
        </is>
      </c>
      <c r="F401" s="10" t="n">
        <v>1</v>
      </c>
      <c r="G401" s="13" t="n"/>
      <c r="H401" s="14" t="n"/>
      <c r="I401" s="5" t="n"/>
      <c r="J401" s="15">
        <f>IF(G401="","",F401*G401)</f>
        <v/>
      </c>
    </row>
    <row r="402">
      <c r="A402" s="16" t="n">
        <v>388</v>
      </c>
      <c r="B402" s="16" t="n">
        <v>319641</v>
      </c>
      <c r="C402" s="17" t="inlineStr">
        <is>
          <t>7891058003562</t>
        </is>
      </c>
      <c r="D402" s="18" t="inlineStr">
        <is>
          <t>PURAN T4 37,5MCG CX 30 COMP</t>
        </is>
      </c>
      <c r="E402" s="18" t="inlineStr">
        <is>
          <t>SANOFI/MEDLEY</t>
        </is>
      </c>
      <c r="F402" s="16" t="n">
        <v>4</v>
      </c>
      <c r="G402" s="13" t="n"/>
      <c r="H402" s="14" t="n"/>
      <c r="I402" s="5" t="n"/>
      <c r="J402" s="19">
        <f>IF(G402="","",F402*G402)</f>
        <v/>
      </c>
    </row>
    <row r="403">
      <c r="A403" s="10" t="n">
        <v>389</v>
      </c>
      <c r="B403" s="10" t="n">
        <v>320961</v>
      </c>
      <c r="C403" s="11" t="inlineStr">
        <is>
          <t>7897595903365</t>
        </is>
      </c>
      <c r="D403" s="12" t="inlineStr">
        <is>
          <t>PURAN T4 88MCG CX 30 COMP</t>
        </is>
      </c>
      <c r="E403" s="12" t="inlineStr">
        <is>
          <t>SANOFI/MEDLEY</t>
        </is>
      </c>
      <c r="F403" s="10" t="n">
        <v>6</v>
      </c>
      <c r="G403" s="13" t="n"/>
      <c r="H403" s="14" t="n"/>
      <c r="I403" s="5" t="n"/>
      <c r="J403" s="15">
        <f>IF(G403="","",F403*G403)</f>
        <v/>
      </c>
    </row>
    <row r="404">
      <c r="A404" s="16" t="n">
        <v>390</v>
      </c>
      <c r="B404" s="16" t="n">
        <v>594241</v>
      </c>
      <c r="C404" s="17" t="inlineStr">
        <is>
          <t>7898636191079</t>
        </is>
      </c>
      <c r="D404" s="18" t="inlineStr">
        <is>
          <t>PV - ASEPXIA SAB LIQ ESFOLIANTE 100ML</t>
        </is>
      </c>
      <c r="E404" s="18" t="inlineStr">
        <is>
          <t>GENOMA</t>
        </is>
      </c>
      <c r="F404" s="16" t="n">
        <v>1</v>
      </c>
      <c r="G404" s="13" t="n"/>
      <c r="H404" s="14" t="n"/>
      <c r="I404" s="5" t="n"/>
      <c r="J404" s="19">
        <f>IF(G404="","",F404*G404)</f>
        <v/>
      </c>
    </row>
    <row r="405">
      <c r="A405" s="10" t="n">
        <v>391</v>
      </c>
      <c r="B405" s="10" t="n">
        <v>509861</v>
      </c>
      <c r="C405" s="11" t="inlineStr">
        <is>
          <t>7896672203909</t>
        </is>
      </c>
      <c r="D405" s="12" t="inlineStr">
        <is>
          <t>PV - BRONCHO-VAXOM 3,5MG PO LIOF CX 10 CAP</t>
        </is>
      </c>
      <c r="E405" s="12" t="inlineStr">
        <is>
          <t>CHIESI</t>
        </is>
      </c>
      <c r="F405" s="10" t="n">
        <v>1</v>
      </c>
      <c r="G405" s="13" t="n"/>
      <c r="H405" s="14" t="n"/>
      <c r="I405" s="5" t="n"/>
      <c r="J405" s="15">
        <f>IF(G405="","",F405*G405)</f>
        <v/>
      </c>
    </row>
    <row r="406">
      <c r="A406" s="16" t="n">
        <v>392</v>
      </c>
      <c r="B406" s="16" t="n">
        <v>619551</v>
      </c>
      <c r="C406" s="17" t="inlineStr">
        <is>
          <t>3282779340274</t>
        </is>
      </c>
      <c r="D406" s="18" t="inlineStr">
        <is>
          <t>PV - KIT AVENE MAT PERFECT COR FPS60+CLEANANCE 40G</t>
        </is>
      </c>
      <c r="E406" s="18" t="inlineStr">
        <is>
          <t>LABORATORIOS PIERRE</t>
        </is>
      </c>
      <c r="F406" s="16" t="n">
        <v>1</v>
      </c>
      <c r="G406" s="13" t="n"/>
      <c r="H406" s="14" t="n"/>
      <c r="I406" s="5" t="n"/>
      <c r="J406" s="19">
        <f>IF(G406="","",F406*G406)</f>
        <v/>
      </c>
    </row>
    <row r="407">
      <c r="A407" s="10" t="n">
        <v>393</v>
      </c>
      <c r="B407" s="10" t="n">
        <v>624261</v>
      </c>
      <c r="C407" s="11" t="inlineStr">
        <is>
          <t>7899706141062</t>
        </is>
      </c>
      <c r="D407" s="12" t="inlineStr">
        <is>
          <t>PV - LIPIKAR LRP AOX FPS60 200ML</t>
        </is>
      </c>
      <c r="E407" s="12" t="inlineStr">
        <is>
          <t>LOREAL</t>
        </is>
      </c>
      <c r="F407" s="10" t="n">
        <v>1</v>
      </c>
      <c r="G407" s="13" t="n"/>
      <c r="H407" s="14" t="n"/>
      <c r="I407" s="5" t="n"/>
      <c r="J407" s="15">
        <f>IF(G407="","",F407*G407)</f>
        <v/>
      </c>
    </row>
    <row r="408">
      <c r="A408" s="16" t="n">
        <v>394</v>
      </c>
      <c r="B408" s="16" t="n">
        <v>290261</v>
      </c>
      <c r="C408" s="17" t="inlineStr">
        <is>
          <t>7894916510417</t>
        </is>
      </c>
      <c r="D408" s="18" t="inlineStr">
        <is>
          <t>PV - OLMY HCT 20+12,5MG CX 10 COMP REV</t>
        </is>
      </c>
      <c r="E408" s="18" t="inlineStr">
        <is>
          <t>GERMED PRESCRIÇÃO</t>
        </is>
      </c>
      <c r="F408" s="16" t="n">
        <v>1</v>
      </c>
      <c r="G408" s="13" t="n"/>
      <c r="H408" s="14" t="n"/>
      <c r="I408" s="5" t="n"/>
      <c r="J408" s="19">
        <f>IF(G408="","",F408*G408)</f>
        <v/>
      </c>
    </row>
    <row r="409">
      <c r="A409" s="10" t="n">
        <v>395</v>
      </c>
      <c r="B409" s="10" t="n">
        <v>204261</v>
      </c>
      <c r="C409" s="11" t="inlineStr">
        <is>
          <t>7897337713382</t>
        </is>
      </c>
      <c r="D409" s="12" t="inlineStr">
        <is>
          <t>PV - PEROLA 0,075MG CX 28 COMP REV</t>
        </is>
      </c>
      <c r="E409" s="12" t="inlineStr">
        <is>
          <t>ORGANON</t>
        </is>
      </c>
      <c r="F409" s="10" t="n">
        <v>1</v>
      </c>
      <c r="G409" s="13" t="n"/>
      <c r="H409" s="14" t="n"/>
      <c r="I409" s="5" t="n"/>
      <c r="J409" s="15">
        <f>IF(G409="","",F409*G409)</f>
        <v/>
      </c>
    </row>
    <row r="410">
      <c r="A410" s="16" t="n">
        <v>396</v>
      </c>
      <c r="B410" s="16" t="n">
        <v>594491</v>
      </c>
      <c r="C410" s="17" t="inlineStr">
        <is>
          <t>7891106914031</t>
        </is>
      </c>
      <c r="D410" s="18" t="inlineStr">
        <is>
          <t>PV - PRIMOGYNA 1MG CX 28 DRG</t>
        </is>
      </c>
      <c r="E410" s="18" t="inlineStr">
        <is>
          <t>BAYER</t>
        </is>
      </c>
      <c r="F410" s="16" t="n">
        <v>1</v>
      </c>
      <c r="G410" s="13" t="n"/>
      <c r="H410" s="14" t="n"/>
      <c r="I410" s="5" t="n"/>
      <c r="J410" s="19">
        <f>IF(G410="","",F410*G410)</f>
        <v/>
      </c>
    </row>
    <row r="411">
      <c r="A411" s="10" t="n">
        <v>397</v>
      </c>
      <c r="B411" s="10" t="n">
        <v>623721</v>
      </c>
      <c r="C411" s="11" t="inlineStr">
        <is>
          <t>7899706251068</t>
        </is>
      </c>
      <c r="D411" s="12" t="inlineStr">
        <is>
          <t>PV - SERUM FAC GARNIER ANTIAC 15ML</t>
        </is>
      </c>
      <c r="E411" s="12" t="inlineStr">
        <is>
          <t>LOREAL</t>
        </is>
      </c>
      <c r="F411" s="10" t="n">
        <v>1</v>
      </c>
      <c r="G411" s="13" t="n"/>
      <c r="H411" s="14" t="n"/>
      <c r="I411" s="5" t="n"/>
      <c r="J411" s="15">
        <f>IF(G411="","",F411*G411)</f>
        <v/>
      </c>
    </row>
    <row r="412">
      <c r="A412" s="16" t="n">
        <v>398</v>
      </c>
      <c r="B412" s="16" t="n">
        <v>624351</v>
      </c>
      <c r="C412" s="17" t="inlineStr">
        <is>
          <t>7899706134231</t>
        </is>
      </c>
      <c r="D412" s="18" t="inlineStr">
        <is>
          <t>PV ANTHELIOS LRP XL FPS70 PROTECT 120ML</t>
        </is>
      </c>
      <c r="E412" s="18" t="inlineStr">
        <is>
          <t>LOREAL</t>
        </is>
      </c>
      <c r="F412" s="16" t="n">
        <v>1</v>
      </c>
      <c r="G412" s="13" t="n"/>
      <c r="H412" s="14" t="n"/>
      <c r="I412" s="5" t="n"/>
      <c r="J412" s="19">
        <f>IF(G412="","",F412*G412)</f>
        <v/>
      </c>
    </row>
    <row r="413">
      <c r="A413" s="10" t="n">
        <v>399</v>
      </c>
      <c r="B413" s="10" t="n">
        <v>636021</v>
      </c>
      <c r="C413" s="11" t="inlineStr">
        <is>
          <t>7899706192057</t>
        </is>
      </c>
      <c r="D413" s="12" t="inlineStr">
        <is>
          <t>PV CERAVE CR OLHOS 15G</t>
        </is>
      </c>
      <c r="E413" s="12" t="inlineStr">
        <is>
          <t>LOREAL PARIS</t>
        </is>
      </c>
      <c r="F413" s="10" t="n">
        <v>1</v>
      </c>
      <c r="G413" s="13" t="n"/>
      <c r="H413" s="14" t="n"/>
      <c r="I413" s="5" t="n"/>
      <c r="J413" s="15">
        <f>IF(G413="","",F413*G413)</f>
        <v/>
      </c>
    </row>
    <row r="414">
      <c r="A414" s="16" t="n">
        <v>400</v>
      </c>
      <c r="B414" s="16" t="n">
        <v>623231</v>
      </c>
      <c r="C414" s="17" t="inlineStr">
        <is>
          <t>7899706197106</t>
        </is>
      </c>
      <c r="D414" s="18" t="inlineStr">
        <is>
          <t>PV DERMO REVITALIFT HIALU GEL PREENCH 50ML</t>
        </is>
      </c>
      <c r="E414" s="18" t="inlineStr">
        <is>
          <t>GARNIER</t>
        </is>
      </c>
      <c r="F414" s="16" t="n">
        <v>1</v>
      </c>
      <c r="G414" s="13" t="n"/>
      <c r="H414" s="14" t="n"/>
      <c r="I414" s="5" t="n"/>
      <c r="J414" s="19">
        <f>IF(G414="","",F414*G414)</f>
        <v/>
      </c>
    </row>
    <row r="415">
      <c r="A415" s="10" t="n">
        <v>401</v>
      </c>
      <c r="B415" s="10" t="n">
        <v>663071</v>
      </c>
      <c r="C415" s="11" t="inlineStr">
        <is>
          <t>7891150096509</t>
        </is>
      </c>
      <c r="D415" s="12" t="inlineStr">
        <is>
          <t>PV DOVE GEL LIMP FACIAL PL SENS E OLEOS 150ML   UNIL %DN:17.00</t>
        </is>
      </c>
      <c r="E415" s="12" t="inlineStr">
        <is>
          <t>DOVE</t>
        </is>
      </c>
      <c r="F415" s="10" t="n">
        <v>1</v>
      </c>
      <c r="G415" s="13" t="n"/>
      <c r="H415" s="14" t="n"/>
      <c r="I415" s="5" t="n"/>
      <c r="J415" s="15">
        <f>IF(G415="","",F415*G415)</f>
        <v/>
      </c>
    </row>
    <row r="416">
      <c r="A416" s="16" t="n">
        <v>402</v>
      </c>
      <c r="B416" s="16" t="n">
        <v>660461</v>
      </c>
      <c r="C416" s="17" t="inlineStr">
        <is>
          <t>7896004780092</t>
        </is>
      </c>
      <c r="D416" s="18" t="inlineStr">
        <is>
          <t>PV POS SOL CALADRYL GEL 120G</t>
        </is>
      </c>
      <c r="E416" s="18" t="inlineStr">
        <is>
          <t>CELLERA FARMACEUTICA</t>
        </is>
      </c>
      <c r="F416" s="16" t="n">
        <v>1</v>
      </c>
      <c r="G416" s="13" t="n"/>
      <c r="H416" s="14" t="n"/>
      <c r="I416" s="5" t="n"/>
      <c r="J416" s="19">
        <f>IF(G416="","",F416*G416)</f>
        <v/>
      </c>
    </row>
    <row r="417">
      <c r="A417" s="10" t="n">
        <v>403</v>
      </c>
      <c r="B417" s="10" t="n">
        <v>255521</v>
      </c>
      <c r="C417" s="11" t="inlineStr">
        <is>
          <t>7896658011276</t>
        </is>
      </c>
      <c r="D417" s="12" t="inlineStr">
        <is>
          <t>PV PRELONE 11MG/ML FR GTS 20ML</t>
        </is>
      </c>
      <c r="E417" s="12" t="inlineStr">
        <is>
          <t>ACHE</t>
        </is>
      </c>
      <c r="F417" s="10" t="n">
        <v>3</v>
      </c>
      <c r="G417" s="13" t="n"/>
      <c r="H417" s="14" t="n"/>
      <c r="I417" s="5" t="n"/>
      <c r="J417" s="15">
        <f>IF(G417="","",F417*G417)</f>
        <v/>
      </c>
    </row>
    <row r="418">
      <c r="A418" s="16" t="n">
        <v>404</v>
      </c>
      <c r="B418" s="16" t="n">
        <v>205741</v>
      </c>
      <c r="C418" s="17" t="inlineStr">
        <is>
          <t>7891317177645</t>
        </is>
      </c>
      <c r="D418" s="18" t="inlineStr">
        <is>
          <t>PV PRIMERA 0,150+0,020MG CX 21 COMP</t>
        </is>
      </c>
      <c r="E418" s="18" t="inlineStr">
        <is>
          <t>EUROFARMA</t>
        </is>
      </c>
      <c r="F418" s="16" t="n">
        <v>1</v>
      </c>
      <c r="G418" s="13" t="n"/>
      <c r="H418" s="14" t="n"/>
      <c r="I418" s="5" t="n"/>
      <c r="J418" s="19">
        <f>IF(G418="","",F418*G418)</f>
        <v/>
      </c>
    </row>
    <row r="419">
      <c r="A419" s="10" t="n">
        <v>405</v>
      </c>
      <c r="B419" s="10" t="n">
        <v>652031</v>
      </c>
      <c r="C419" s="11" t="inlineStr">
        <is>
          <t>7896094211438</t>
        </is>
      </c>
      <c r="D419" s="12" t="inlineStr">
        <is>
          <t>PV UMIDITA CALM CR 45G</t>
        </is>
      </c>
      <c r="E419" s="12" t="inlineStr"/>
      <c r="F419" s="10" t="n">
        <v>1</v>
      </c>
      <c r="G419" s="13" t="n"/>
      <c r="H419" s="14" t="n"/>
      <c r="I419" s="5" t="n"/>
      <c r="J419" s="15">
        <f>IF(G419="","",F419*G419)</f>
        <v/>
      </c>
    </row>
    <row r="420">
      <c r="A420" s="16" t="n">
        <v>406</v>
      </c>
      <c r="B420" s="16" t="n">
        <v>204241</v>
      </c>
      <c r="C420" s="17" t="inlineStr">
        <is>
          <t>7897337713399</t>
        </is>
      </c>
      <c r="D420" s="18" t="inlineStr">
        <is>
          <t>PV- PEROLA 0,075MG (CARTELA) C/28CP</t>
        </is>
      </c>
      <c r="E420" s="18" t="inlineStr">
        <is>
          <t>ORGANON</t>
        </is>
      </c>
      <c r="F420" s="16" t="n">
        <v>1</v>
      </c>
      <c r="G420" s="13" t="n"/>
      <c r="H420" s="14" t="n"/>
      <c r="I420" s="5" t="n"/>
      <c r="J420" s="19">
        <f>IF(G420="","",F420*G420)</f>
        <v/>
      </c>
    </row>
    <row r="421">
      <c r="A421" s="10" t="n">
        <v>407</v>
      </c>
      <c r="B421" s="10" t="n">
        <v>649771</v>
      </c>
      <c r="C421" s="11" t="inlineStr">
        <is>
          <t>7896676440492</t>
        </is>
      </c>
      <c r="D421" s="12" t="inlineStr">
        <is>
          <t>PVV - CUTISANOL BABY CREME 120G-DEMAIS PROD</t>
        </is>
      </c>
      <c r="E421" s="12" t="inlineStr"/>
      <c r="F421" s="10" t="n">
        <v>1</v>
      </c>
      <c r="G421" s="13" t="n"/>
      <c r="H421" s="14" t="n"/>
      <c r="I421" s="5" t="n"/>
      <c r="J421" s="15">
        <f>IF(G421="","",F421*G421)</f>
        <v/>
      </c>
    </row>
    <row r="422">
      <c r="A422" s="16" t="n">
        <v>408</v>
      </c>
      <c r="B422" s="16" t="n">
        <v>514881</v>
      </c>
      <c r="C422" s="17" t="inlineStr">
        <is>
          <t>7891317010478</t>
        </is>
      </c>
      <c r="D422" s="18" t="inlineStr">
        <is>
          <t>PVV - EBASTEL 10MG CX 30 COMP REV</t>
        </is>
      </c>
      <c r="E422" s="18" t="inlineStr">
        <is>
          <t>EUROFARMA</t>
        </is>
      </c>
      <c r="F422" s="16" t="n">
        <v>1</v>
      </c>
      <c r="G422" s="13" t="n"/>
      <c r="H422" s="14" t="n"/>
      <c r="I422" s="5" t="n"/>
      <c r="J422" s="19">
        <f>IF(G422="","",F422*G422)</f>
        <v/>
      </c>
    </row>
    <row r="423">
      <c r="A423" s="10" t="n">
        <v>409</v>
      </c>
      <c r="B423" s="10" t="n">
        <v>223901</v>
      </c>
      <c r="C423" s="11" t="inlineStr">
        <is>
          <t>7891058015787</t>
        </is>
      </c>
      <c r="D423" s="12" t="inlineStr">
        <is>
          <t>PVV - NOVALGINA EFERVESCENTE C/2</t>
        </is>
      </c>
      <c r="E423" s="12" t="inlineStr">
        <is>
          <t>SANOFI CONSUMER HEALTHCARE</t>
        </is>
      </c>
      <c r="F423" s="10" t="n">
        <v>1</v>
      </c>
      <c r="G423" s="13" t="n"/>
      <c r="H423" s="14" t="n"/>
      <c r="I423" s="5" t="n"/>
      <c r="J423" s="15">
        <f>IF(G423="","",F423*G423)</f>
        <v/>
      </c>
    </row>
    <row r="424">
      <c r="A424" s="16" t="n">
        <v>410</v>
      </c>
      <c r="B424" s="16" t="n">
        <v>578761</v>
      </c>
      <c r="C424" s="17" t="inlineStr">
        <is>
          <t>7898639690418</t>
        </is>
      </c>
      <c r="D424" s="18" t="inlineStr">
        <is>
          <t>PVV - TERMOMETRO DIGITAL CLINICO TH1027</t>
        </is>
      </c>
      <c r="E424" s="18" t="inlineStr">
        <is>
          <t>G-TECH</t>
        </is>
      </c>
      <c r="F424" s="16" t="n">
        <v>36</v>
      </c>
      <c r="G424" s="13" t="n"/>
      <c r="H424" s="14" t="n"/>
      <c r="I424" s="5" t="n"/>
      <c r="J424" s="19">
        <f>IF(G424="","",F424*G424)</f>
        <v/>
      </c>
    </row>
    <row r="425">
      <c r="A425" s="10" t="n">
        <v>411</v>
      </c>
      <c r="B425" s="10" t="n">
        <v>146041</v>
      </c>
      <c r="C425" s="11" t="inlineStr">
        <is>
          <t>7892953001370</t>
        </is>
      </c>
      <c r="D425" s="12" t="inlineStr">
        <is>
          <t>PYRIDIUM 100MG CX 25 COMP REV</t>
        </is>
      </c>
      <c r="E425" s="12" t="inlineStr">
        <is>
          <t>ADIUM</t>
        </is>
      </c>
      <c r="F425" s="10" t="n">
        <v>14</v>
      </c>
      <c r="G425" s="13" t="n"/>
      <c r="H425" s="14" t="n"/>
      <c r="I425" s="5" t="n"/>
      <c r="J425" s="15">
        <f>IF(G425="","",F425*G425)</f>
        <v/>
      </c>
    </row>
    <row r="426">
      <c r="A426" s="16" t="n">
        <v>412</v>
      </c>
      <c r="B426" s="16" t="n">
        <v>146061</v>
      </c>
      <c r="C426" s="17" t="inlineStr">
        <is>
          <t>7892953001387</t>
        </is>
      </c>
      <c r="D426" s="18" t="inlineStr">
        <is>
          <t>PYRIDIUM 200MG CX 18 COMP REV</t>
        </is>
      </c>
      <c r="E426" s="18" t="inlineStr">
        <is>
          <t>ADIUM</t>
        </is>
      </c>
      <c r="F426" s="16" t="n">
        <v>24</v>
      </c>
      <c r="G426" s="13" t="n"/>
      <c r="H426" s="14" t="n"/>
      <c r="I426" s="5" t="n"/>
      <c r="J426" s="19">
        <f>IF(G426="","",F426*G426)</f>
        <v/>
      </c>
    </row>
    <row r="427">
      <c r="A427" s="10" t="n">
        <v>413</v>
      </c>
      <c r="B427" s="10" t="n">
        <v>485721</v>
      </c>
      <c r="C427" s="11" t="inlineStr">
        <is>
          <t>7908020502722</t>
        </is>
      </c>
      <c r="D427" s="12" t="inlineStr">
        <is>
          <t>PYVERM 100MG CX 6 COMP REV</t>
        </is>
      </c>
      <c r="E427" s="12" t="inlineStr">
        <is>
          <t>CIFARMA</t>
        </is>
      </c>
      <c r="F427" s="10" t="n">
        <v>1</v>
      </c>
      <c r="G427" s="13" t="n"/>
      <c r="H427" s="14" t="n"/>
      <c r="I427" s="5" t="n"/>
      <c r="J427" s="15">
        <f>IF(G427="","",F427*G427)</f>
        <v/>
      </c>
    </row>
    <row r="428">
      <c r="A428" s="16" t="n">
        <v>414</v>
      </c>
      <c r="B428" s="16" t="n">
        <v>658161</v>
      </c>
      <c r="C428" s="17" t="inlineStr">
        <is>
          <t>7898638348730</t>
        </is>
      </c>
      <c r="D428" s="18" t="inlineStr">
        <is>
          <t>Q+VITTA AZ 500MG 60CP</t>
        </is>
      </c>
      <c r="E428" s="18" t="inlineStr">
        <is>
          <t>QVITTA</t>
        </is>
      </c>
      <c r="F428" s="16" t="n">
        <v>1</v>
      </c>
      <c r="G428" s="13" t="n"/>
      <c r="H428" s="14" t="n"/>
      <c r="I428" s="5" t="n"/>
      <c r="J428" s="19">
        <f>IF(G428="","",F428*G428)</f>
        <v/>
      </c>
    </row>
    <row r="429">
      <c r="A429" s="10" t="n">
        <v>415</v>
      </c>
      <c r="B429" s="10" t="n">
        <v>657991</v>
      </c>
      <c r="C429" s="11" t="inlineStr">
        <is>
          <t>7898638348747</t>
        </is>
      </c>
      <c r="D429" s="12" t="inlineStr">
        <is>
          <t>Q+VITTA AZ HOMEM 500MG 60CPS</t>
        </is>
      </c>
      <c r="E429" s="12" t="inlineStr">
        <is>
          <t>QVITTA</t>
        </is>
      </c>
      <c r="F429" s="10" t="n">
        <v>2</v>
      </c>
      <c r="G429" s="13" t="n"/>
      <c r="H429" s="14" t="n"/>
      <c r="I429" s="5" t="n"/>
      <c r="J429" s="15">
        <f>IF(G429="","",F429*G429)</f>
        <v/>
      </c>
    </row>
    <row r="430">
      <c r="A430" s="16" t="n">
        <v>416</v>
      </c>
      <c r="B430" s="16" t="n">
        <v>650281</v>
      </c>
      <c r="C430" s="17" t="inlineStr">
        <is>
          <t>7898638348754</t>
        </is>
      </c>
      <c r="D430" s="18" t="inlineStr">
        <is>
          <t>Q+VITTA AZ MULHER 500MG 60CPS</t>
        </is>
      </c>
      <c r="E430" s="18" t="inlineStr">
        <is>
          <t>QVITTA</t>
        </is>
      </c>
      <c r="F430" s="16" t="n">
        <v>2</v>
      </c>
      <c r="G430" s="13" t="n"/>
      <c r="H430" s="14" t="n"/>
      <c r="I430" s="5" t="n"/>
      <c r="J430" s="19">
        <f>IF(G430="","",F430*G430)</f>
        <v/>
      </c>
    </row>
    <row r="431">
      <c r="A431" s="10" t="n">
        <v>417</v>
      </c>
      <c r="B431" s="10" t="n">
        <v>657981</v>
      </c>
      <c r="C431" s="11" t="inlineStr">
        <is>
          <t>7898638348785</t>
        </is>
      </c>
      <c r="D431" s="12" t="inlineStr">
        <is>
          <t>Q+VITTA CALCIO MDK 500MG 60CAPS</t>
        </is>
      </c>
      <c r="E431" s="12" t="inlineStr">
        <is>
          <t>QVITTA</t>
        </is>
      </c>
      <c r="F431" s="10" t="n">
        <v>1</v>
      </c>
      <c r="G431" s="13" t="n"/>
      <c r="H431" s="14" t="n"/>
      <c r="I431" s="5" t="n"/>
      <c r="J431" s="15">
        <f>IF(G431="","",F431*G431)</f>
        <v/>
      </c>
    </row>
    <row r="432">
      <c r="A432" s="16" t="n">
        <v>418</v>
      </c>
      <c r="B432" s="16" t="n">
        <v>622891</v>
      </c>
      <c r="C432" s="17" t="inlineStr">
        <is>
          <t>7891106908535</t>
        </is>
      </c>
      <c r="D432" s="18" t="inlineStr">
        <is>
          <t>REDOXITOS LARANJA 25 UNIDADES-DEMAIS PROD</t>
        </is>
      </c>
      <c r="E432" s="18" t="inlineStr">
        <is>
          <t>SANOFI</t>
        </is>
      </c>
      <c r="F432" s="16" t="n">
        <v>3</v>
      </c>
      <c r="G432" s="13" t="n"/>
      <c r="H432" s="14" t="n"/>
      <c r="I432" s="5" t="n"/>
      <c r="J432" s="19">
        <f>IF(G432="","",F432*G432)</f>
        <v/>
      </c>
    </row>
    <row r="433">
      <c r="A433" s="10" t="n">
        <v>419</v>
      </c>
      <c r="B433" s="10" t="n">
        <v>14581</v>
      </c>
      <c r="C433" s="11" t="inlineStr">
        <is>
          <t>7891106006279</t>
        </is>
      </c>
      <c r="D433" s="12" t="inlineStr">
        <is>
          <t>REDOXON 1G TB 10 COMP EFEV SB LARANJA</t>
        </is>
      </c>
      <c r="E433" s="12" t="inlineStr">
        <is>
          <t>BAYER</t>
        </is>
      </c>
      <c r="F433" s="10" t="n">
        <v>4</v>
      </c>
      <c r="G433" s="13" t="n"/>
      <c r="H433" s="14" t="n"/>
      <c r="I433" s="5" t="n"/>
      <c r="J433" s="15">
        <f>IF(G433="","",F433*G433)</f>
        <v/>
      </c>
    </row>
    <row r="434">
      <c r="A434" s="16" t="n">
        <v>420</v>
      </c>
      <c r="B434" s="16" t="n">
        <v>14601</v>
      </c>
      <c r="C434" s="17" t="inlineStr">
        <is>
          <t>7891106006286</t>
        </is>
      </c>
      <c r="D434" s="18" t="inlineStr">
        <is>
          <t>REDOXON 200MG/ML SOL ORAL FR GTS 20ML</t>
        </is>
      </c>
      <c r="E434" s="18" t="inlineStr">
        <is>
          <t>BAYER</t>
        </is>
      </c>
      <c r="F434" s="16" t="n">
        <v>89</v>
      </c>
      <c r="G434" s="13" t="n"/>
      <c r="H434" s="14" t="n"/>
      <c r="I434" s="5" t="n"/>
      <c r="J434" s="19">
        <f>IF(G434="","",F434*G434)</f>
        <v/>
      </c>
    </row>
    <row r="435">
      <c r="A435" s="10" t="n">
        <v>421</v>
      </c>
      <c r="B435" s="10" t="n">
        <v>565941</v>
      </c>
      <c r="C435" s="11" t="inlineStr">
        <is>
          <t>7891106912655</t>
        </is>
      </c>
      <c r="D435" s="12" t="inlineStr">
        <is>
          <t>REDOXON TRIPLA ACAO 10CP EFERV</t>
        </is>
      </c>
      <c r="E435" s="12" t="inlineStr">
        <is>
          <t>BAYER</t>
        </is>
      </c>
      <c r="F435" s="10" t="n">
        <v>1</v>
      </c>
      <c r="G435" s="13" t="n"/>
      <c r="H435" s="14" t="n"/>
      <c r="I435" s="5" t="n"/>
      <c r="J435" s="15">
        <f>IF(G435="","",F435*G435)</f>
        <v/>
      </c>
    </row>
    <row r="436">
      <c r="A436" s="16" t="n">
        <v>422</v>
      </c>
      <c r="B436" s="16" t="n">
        <v>1553</v>
      </c>
      <c r="C436" s="17" t="inlineStr">
        <is>
          <t>7898956544111</t>
        </is>
      </c>
      <c r="D436" s="18" t="inlineStr">
        <is>
          <t>REGENESIS CX 30 CAP</t>
        </is>
      </c>
      <c r="E436" s="18" t="inlineStr">
        <is>
          <t>EXELTIS</t>
        </is>
      </c>
      <c r="F436" s="16" t="n">
        <v>4</v>
      </c>
      <c r="G436" s="13" t="n"/>
      <c r="H436" s="14" t="n"/>
      <c r="I436" s="5" t="n"/>
      <c r="J436" s="19">
        <f>IF(G436="","",F436*G436)</f>
        <v/>
      </c>
    </row>
    <row r="437">
      <c r="A437" s="10" t="n">
        <v>423</v>
      </c>
      <c r="B437" s="10" t="n">
        <v>563</v>
      </c>
      <c r="C437" s="11" t="inlineStr">
        <is>
          <t>7896046381004</t>
        </is>
      </c>
      <c r="D437" s="12" t="inlineStr">
        <is>
          <t>RENU FRESH SOL MULTI PACKON FR 120ML+355ML+EST LENTES</t>
        </is>
      </c>
      <c r="E437" s="12" t="inlineStr">
        <is>
          <t>BAUSCH &amp; LOMB</t>
        </is>
      </c>
      <c r="F437" s="10" t="n">
        <v>4</v>
      </c>
      <c r="G437" s="13" t="n"/>
      <c r="H437" s="14" t="n"/>
      <c r="I437" s="5" t="n"/>
      <c r="J437" s="15">
        <f>IF(G437="","",F437*G437)</f>
        <v/>
      </c>
    </row>
    <row r="438">
      <c r="A438" s="16" t="n">
        <v>424</v>
      </c>
      <c r="B438" s="16" t="n">
        <v>647811</v>
      </c>
      <c r="C438" s="17" t="inlineStr">
        <is>
          <t>7896046390020</t>
        </is>
      </c>
      <c r="D438" s="18" t="inlineStr">
        <is>
          <t>RENU FRESH SOLUCAO 60ML-DEMAIS PROD</t>
        </is>
      </c>
      <c r="E438" s="18" t="inlineStr"/>
      <c r="F438" s="16" t="n">
        <v>2</v>
      </c>
      <c r="G438" s="13" t="n"/>
      <c r="H438" s="14" t="n"/>
      <c r="I438" s="5" t="n"/>
      <c r="J438" s="19">
        <f>IF(G438="","",F438*G438)</f>
        <v/>
      </c>
    </row>
    <row r="439">
      <c r="A439" s="10" t="n">
        <v>425</v>
      </c>
      <c r="B439" s="10" t="n">
        <v>431061</v>
      </c>
      <c r="C439" s="11" t="inlineStr">
        <is>
          <t>7898560661563</t>
        </is>
      </c>
      <c r="D439" s="12" t="inlineStr">
        <is>
          <t>REPARIL 10+50MG/G GEL BG 30G</t>
        </is>
      </c>
      <c r="E439" s="12" t="inlineStr">
        <is>
          <t>VIATRIS</t>
        </is>
      </c>
      <c r="F439" s="10" t="n">
        <v>2</v>
      </c>
      <c r="G439" s="13" t="n"/>
      <c r="H439" s="14" t="n"/>
      <c r="I439" s="5" t="n"/>
      <c r="J439" s="15">
        <f>IF(G439="","",F439*G439)</f>
        <v/>
      </c>
    </row>
    <row r="440">
      <c r="A440" s="16" t="n">
        <v>426</v>
      </c>
      <c r="B440" s="16" t="n">
        <v>116841</v>
      </c>
      <c r="C440" s="17" t="inlineStr">
        <is>
          <t>7896637022552</t>
        </is>
      </c>
      <c r="D440" s="18" t="inlineStr">
        <is>
          <t>RETEMIC 5MG CX 30 COMP</t>
        </is>
      </c>
      <c r="E440" s="18" t="inlineStr">
        <is>
          <t>APSEN</t>
        </is>
      </c>
      <c r="F440" s="16" t="n">
        <v>3</v>
      </c>
      <c r="G440" s="13" t="n"/>
      <c r="H440" s="14" t="n"/>
      <c r="I440" s="5" t="n"/>
      <c r="J440" s="19">
        <f>IF(G440="","",F440*G440)</f>
        <v/>
      </c>
    </row>
    <row r="441">
      <c r="A441" s="10" t="n">
        <v>427</v>
      </c>
      <c r="B441" s="10" t="n">
        <v>611001</v>
      </c>
      <c r="C441" s="11" t="inlineStr">
        <is>
          <t>4005900945709</t>
        </is>
      </c>
      <c r="D441" s="12" t="inlineStr">
        <is>
          <t>SAB NIVEA GEL ACNE CONTROL 150G</t>
        </is>
      </c>
      <c r="E441" s="12" t="inlineStr">
        <is>
          <t>NIVEA</t>
        </is>
      </c>
      <c r="F441" s="10" t="n">
        <v>1</v>
      </c>
      <c r="G441" s="13" t="n"/>
      <c r="H441" s="14" t="n"/>
      <c r="I441" s="5" t="n"/>
      <c r="J441" s="15">
        <f>IF(G441="","",F441*G441)</f>
        <v/>
      </c>
    </row>
    <row r="442">
      <c r="A442" s="16" t="n">
        <v>428</v>
      </c>
      <c r="B442" s="16" t="n">
        <v>555241</v>
      </c>
      <c r="C442" s="17" t="inlineStr">
        <is>
          <t>7898949409557</t>
        </is>
      </c>
      <c r="D442" s="18" t="inlineStr">
        <is>
          <t>SABONETE BARRA ENXOFRE ASEPXIA CAIXA 90G</t>
        </is>
      </c>
      <c r="E442" s="18" t="inlineStr">
        <is>
          <t>PADRAO</t>
        </is>
      </c>
      <c r="F442" s="16" t="n">
        <v>3</v>
      </c>
      <c r="G442" s="13" t="n"/>
      <c r="H442" s="14" t="n"/>
      <c r="I442" s="5" t="n"/>
      <c r="J442" s="19">
        <f>IF(G442="","",F442*G442)</f>
        <v/>
      </c>
    </row>
    <row r="443">
      <c r="A443" s="10" t="n">
        <v>429</v>
      </c>
      <c r="B443" s="10" t="n">
        <v>104</v>
      </c>
      <c r="C443" s="11" t="inlineStr">
        <is>
          <t>4005808189342</t>
        </is>
      </c>
      <c r="D443" s="12" t="inlineStr">
        <is>
          <t>SABONETE FACIAL GEL NIVEA EQUI NUT 150G</t>
        </is>
      </c>
      <c r="E443" s="12" t="inlineStr">
        <is>
          <t>NIVEA</t>
        </is>
      </c>
      <c r="F443" s="10" t="n">
        <v>1</v>
      </c>
      <c r="G443" s="13" t="n"/>
      <c r="H443" s="14" t="n"/>
      <c r="I443" s="5" t="n"/>
      <c r="J443" s="15">
        <f>IF(G443="","",F443*G443)</f>
        <v/>
      </c>
    </row>
    <row r="444">
      <c r="A444" s="16" t="n">
        <v>430</v>
      </c>
      <c r="B444" s="16" t="n">
        <v>45</v>
      </c>
      <c r="C444" s="17" t="inlineStr">
        <is>
          <t>7896004790640</t>
        </is>
      </c>
      <c r="D444" s="18" t="inlineStr">
        <is>
          <t>SABONETE LIQUIDO DERMACYD FEMINA FLORAL 200 ML</t>
        </is>
      </c>
      <c r="E444" s="18" t="inlineStr">
        <is>
          <t>SANOFI</t>
        </is>
      </c>
      <c r="F444" s="16" t="n">
        <v>2</v>
      </c>
      <c r="G444" s="13" t="n"/>
      <c r="H444" s="14" t="n"/>
      <c r="I444" s="5" t="n"/>
      <c r="J444" s="19">
        <f>IF(G444="","",F444*G444)</f>
        <v/>
      </c>
    </row>
    <row r="445">
      <c r="A445" s="10" t="n">
        <v>431</v>
      </c>
      <c r="B445" s="10" t="n">
        <v>431301</v>
      </c>
      <c r="C445" s="11" t="inlineStr">
        <is>
          <t>7896227800089</t>
        </is>
      </c>
      <c r="D445" s="12" t="inlineStr">
        <is>
          <t>SALONPAS 0,15+0,07G/G GEL BG 20G</t>
        </is>
      </c>
      <c r="E445" s="12" t="inlineStr">
        <is>
          <t>HISAMITSU</t>
        </is>
      </c>
      <c r="F445" s="10" t="n">
        <v>2</v>
      </c>
      <c r="G445" s="13" t="n"/>
      <c r="H445" s="14" t="n"/>
      <c r="I445" s="5" t="n"/>
      <c r="J445" s="15">
        <f>IF(G445="","",F445*G445)</f>
        <v/>
      </c>
    </row>
    <row r="446">
      <c r="A446" s="16" t="n">
        <v>432</v>
      </c>
      <c r="B446" s="16" t="n">
        <v>318421</v>
      </c>
      <c r="C446" s="17" t="inlineStr">
        <is>
          <t>7896227800812</t>
        </is>
      </c>
      <c r="D446" s="18" t="inlineStr">
        <is>
          <t>SALONPAS 144,0+131,0+28,4MG  CX 2 UNID. ADES TAM GDE</t>
        </is>
      </c>
      <c r="E446" s="18" t="inlineStr">
        <is>
          <t>HISAMITSU</t>
        </is>
      </c>
      <c r="F446" s="16" t="n">
        <v>65</v>
      </c>
      <c r="G446" s="13" t="n"/>
      <c r="H446" s="14" t="n"/>
      <c r="I446" s="5" t="n"/>
      <c r="J446" s="19">
        <f>IF(G446="","",F446*G446)</f>
        <v/>
      </c>
    </row>
    <row r="447">
      <c r="A447" s="10" t="n">
        <v>433</v>
      </c>
      <c r="B447" s="10" t="n">
        <v>318441</v>
      </c>
      <c r="C447" s="11" t="inlineStr">
        <is>
          <t>7896227800829</t>
        </is>
      </c>
      <c r="D447" s="12" t="inlineStr">
        <is>
          <t>SALONPAS 144,0+131,0+28,4MG CX 4 UNID. ADES TAM GDE</t>
        </is>
      </c>
      <c r="E447" s="12" t="inlineStr">
        <is>
          <t>HISAMITSU</t>
        </is>
      </c>
      <c r="F447" s="10" t="n">
        <v>59</v>
      </c>
      <c r="G447" s="13" t="n"/>
      <c r="H447" s="14" t="n"/>
      <c r="I447" s="5" t="n"/>
      <c r="J447" s="15">
        <f>IF(G447="","",F447*G447)</f>
        <v/>
      </c>
    </row>
    <row r="448">
      <c r="A448" s="10" t="n">
        <v>434</v>
      </c>
      <c r="B448" s="10" t="n">
        <v>318441</v>
      </c>
      <c r="C448" s="11" t="inlineStr">
        <is>
          <t>7896227800867</t>
        </is>
      </c>
      <c r="D448" s="12" t="inlineStr">
        <is>
          <t>SALONPAS 144,0+131,0+28,4MG CX 4 UNID. ADES TAM GDE</t>
        </is>
      </c>
      <c r="E448" s="12" t="inlineStr">
        <is>
          <t>HISAMITSU</t>
        </is>
      </c>
      <c r="F448" s="10" t="n">
        <v>59</v>
      </c>
      <c r="G448" s="13" t="n"/>
      <c r="H448" s="14" t="n"/>
      <c r="I448" s="5" t="n"/>
      <c r="J448" s="15">
        <f>IF(G448="","",F448*G448)</f>
        <v/>
      </c>
    </row>
    <row r="449">
      <c r="A449" s="16" t="n">
        <v>435</v>
      </c>
      <c r="B449" s="16" t="n">
        <v>318461</v>
      </c>
      <c r="C449" s="17" t="inlineStr">
        <is>
          <t>7896227800799</t>
        </is>
      </c>
      <c r="D449" s="18" t="inlineStr">
        <is>
          <t>SALONPAS 36,0MG+33,0MG+7,1MG CX 4 UNID. ADES TAM PEQ</t>
        </is>
      </c>
      <c r="E449" s="18" t="inlineStr">
        <is>
          <t>HISAMITSU</t>
        </is>
      </c>
      <c r="F449" s="16" t="n">
        <v>79</v>
      </c>
      <c r="G449" s="13" t="n"/>
      <c r="H449" s="14" t="n"/>
      <c r="I449" s="5" t="n"/>
      <c r="J449" s="19">
        <f>IF(G449="","",F449*G449)</f>
        <v/>
      </c>
    </row>
    <row r="450">
      <c r="A450" s="16" t="n">
        <v>436</v>
      </c>
      <c r="B450" s="16" t="n">
        <v>318461</v>
      </c>
      <c r="C450" s="17" t="inlineStr">
        <is>
          <t>7896227800881</t>
        </is>
      </c>
      <c r="D450" s="18" t="inlineStr">
        <is>
          <t>SALONPAS 36,0MG+33,0MG+7,1MG CX 4 UNID. ADES TAM PEQ</t>
        </is>
      </c>
      <c r="E450" s="18" t="inlineStr">
        <is>
          <t>HISAMITSU</t>
        </is>
      </c>
      <c r="F450" s="16" t="n">
        <v>79</v>
      </c>
      <c r="G450" s="13" t="n"/>
      <c r="H450" s="14" t="n"/>
      <c r="I450" s="5" t="n"/>
      <c r="J450" s="19">
        <f>IF(G450="","",F450*G450)</f>
        <v/>
      </c>
    </row>
    <row r="451">
      <c r="A451" s="10" t="n">
        <v>437</v>
      </c>
      <c r="B451" s="10" t="n">
        <v>623011</v>
      </c>
      <c r="C451" s="11" t="inlineStr">
        <is>
          <t>4987188501115</t>
        </is>
      </c>
      <c r="D451" s="12" t="inlineStr">
        <is>
          <t>SALONPAS GEL-PATCH 12,5MG/G+10MG/G+3MG/G+10MG/G 3 ADES</t>
        </is>
      </c>
      <c r="E451" s="12" t="inlineStr">
        <is>
          <t>HISAMITSU</t>
        </is>
      </c>
      <c r="F451" s="10" t="n">
        <v>6</v>
      </c>
      <c r="G451" s="13" t="n"/>
      <c r="H451" s="14" t="n"/>
      <c r="I451" s="5" t="n"/>
      <c r="J451" s="15">
        <f>IF(G451="","",F451*G451)</f>
        <v/>
      </c>
    </row>
    <row r="452">
      <c r="A452" s="16" t="n">
        <v>438</v>
      </c>
      <c r="B452" s="16" t="n">
        <v>244781</v>
      </c>
      <c r="C452" s="17" t="inlineStr">
        <is>
          <t>7898074618183</t>
        </is>
      </c>
      <c r="D452" s="18" t="inlineStr">
        <is>
          <t>SEKI 3,54MG/ML XPE FR 120ML+CM</t>
        </is>
      </c>
      <c r="E452" s="18" t="inlineStr">
        <is>
          <t>ZAMBON</t>
        </is>
      </c>
      <c r="F452" s="16" t="n">
        <v>20</v>
      </c>
      <c r="G452" s="13" t="n"/>
      <c r="H452" s="14" t="n"/>
      <c r="I452" s="5" t="n"/>
      <c r="J452" s="19">
        <f>IF(G452="","",F452*G452)</f>
        <v/>
      </c>
    </row>
    <row r="453">
      <c r="A453" s="10" t="n">
        <v>439</v>
      </c>
      <c r="B453" s="10" t="n">
        <v>4281</v>
      </c>
      <c r="C453" s="11" t="inlineStr">
        <is>
          <t>7891317465650</t>
        </is>
      </c>
      <c r="D453" s="12" t="inlineStr">
        <is>
          <t>SELENE 0,035+2MG (CAIXA C/ 3 CARTELAS) C/21</t>
        </is>
      </c>
      <c r="E453" s="12" t="inlineStr">
        <is>
          <t>EUROFARMA</t>
        </is>
      </c>
      <c r="F453" s="10" t="n">
        <v>10</v>
      </c>
      <c r="G453" s="13" t="n"/>
      <c r="H453" s="14" t="n"/>
      <c r="I453" s="5" t="n"/>
      <c r="J453" s="15">
        <f>IF(G453="","",F453*G453)</f>
        <v/>
      </c>
    </row>
    <row r="454">
      <c r="A454" s="16" t="n">
        <v>440</v>
      </c>
      <c r="B454" s="16" t="n">
        <v>444281</v>
      </c>
      <c r="C454" s="17" t="inlineStr">
        <is>
          <t>7896206402853</t>
        </is>
      </c>
      <c r="D454" s="18" t="inlineStr">
        <is>
          <t>SELOZOK 25MG CX 30 COMP</t>
        </is>
      </c>
      <c r="E454" s="18" t="inlineStr">
        <is>
          <t>ASTRAZENECA</t>
        </is>
      </c>
      <c r="F454" s="16" t="n">
        <v>6</v>
      </c>
      <c r="G454" s="13" t="n"/>
      <c r="H454" s="14" t="n"/>
      <c r="I454" s="5" t="n"/>
      <c r="J454" s="19">
        <f>IF(G454="","",F454*G454)</f>
        <v/>
      </c>
    </row>
    <row r="455">
      <c r="A455" s="10" t="n">
        <v>441</v>
      </c>
      <c r="B455" s="10" t="n">
        <v>444341</v>
      </c>
      <c r="C455" s="11" t="inlineStr">
        <is>
          <t>7896206402860</t>
        </is>
      </c>
      <c r="D455" s="12" t="inlineStr">
        <is>
          <t>SELOZOK 50MG CX 30 COMP</t>
        </is>
      </c>
      <c r="E455" s="12" t="inlineStr">
        <is>
          <t>ASTRAZENECA</t>
        </is>
      </c>
      <c r="F455" s="10" t="n">
        <v>4</v>
      </c>
      <c r="G455" s="13" t="n"/>
      <c r="H455" s="14" t="n"/>
      <c r="I455" s="5" t="n"/>
      <c r="J455" s="15">
        <f>IF(G455="","",F455*G455)</f>
        <v/>
      </c>
    </row>
    <row r="456">
      <c r="A456" s="16" t="n">
        <v>442</v>
      </c>
      <c r="B456" s="16" t="n">
        <v>542281</v>
      </c>
      <c r="C456" s="17" t="inlineStr">
        <is>
          <t>7892828001405</t>
        </is>
      </c>
      <c r="D456" s="18" t="inlineStr">
        <is>
          <t>SEPURIN 120MG+20ML CX 20 DRG</t>
        </is>
      </c>
      <c r="E456" s="18" t="inlineStr">
        <is>
          <t>GROSS</t>
        </is>
      </c>
      <c r="F456" s="16" t="n">
        <v>7</v>
      </c>
      <c r="G456" s="13" t="n"/>
      <c r="H456" s="14" t="n"/>
      <c r="I456" s="5" t="n"/>
      <c r="J456" s="19">
        <f>IF(G456="","",F456*G456)</f>
        <v/>
      </c>
    </row>
    <row r="457">
      <c r="A457" s="10" t="n">
        <v>443</v>
      </c>
      <c r="B457" s="10" t="n">
        <v>656201</v>
      </c>
      <c r="C457" s="11" t="inlineStr">
        <is>
          <t>7891150095878</t>
        </is>
      </c>
      <c r="D457" s="12" t="inlineStr">
        <is>
          <t>SERUM DOVE CORPO PRO CERAM 380ML</t>
        </is>
      </c>
      <c r="E457" s="12" t="inlineStr">
        <is>
          <t>DOVE</t>
        </is>
      </c>
      <c r="F457" s="10" t="n">
        <v>6</v>
      </c>
      <c r="G457" s="13" t="n"/>
      <c r="H457" s="14" t="n"/>
      <c r="I457" s="5" t="n"/>
      <c r="J457" s="15">
        <f>IF(G457="","",F457*G457)</f>
        <v/>
      </c>
    </row>
    <row r="458">
      <c r="A458" s="16" t="n">
        <v>444</v>
      </c>
      <c r="B458" s="16" t="n">
        <v>844</v>
      </c>
      <c r="C458" s="17" t="inlineStr">
        <is>
          <t>7898949409922</t>
        </is>
      </c>
      <c r="D458" s="18" t="inlineStr">
        <is>
          <t>SHP TIO NACHO ENGROSSADOR 415ML</t>
        </is>
      </c>
      <c r="E458" s="18" t="inlineStr">
        <is>
          <t>GENOMA</t>
        </is>
      </c>
      <c r="F458" s="16" t="n">
        <v>1</v>
      </c>
      <c r="G458" s="13" t="n"/>
      <c r="H458" s="14" t="n"/>
      <c r="I458" s="5" t="n"/>
      <c r="J458" s="19">
        <f>IF(G458="","",F458*G458)</f>
        <v/>
      </c>
    </row>
    <row r="459">
      <c r="A459" s="10" t="n">
        <v>445</v>
      </c>
      <c r="B459" s="10" t="n">
        <v>109721</v>
      </c>
      <c r="C459" s="11" t="inlineStr">
        <is>
          <t>7894916501477</t>
        </is>
      </c>
      <c r="D459" s="12" t="inlineStr">
        <is>
          <t>SIGMA-CLAV BD 400+57MG/5ML SUS ORAL FR 70ML</t>
        </is>
      </c>
      <c r="E459" s="12" t="inlineStr">
        <is>
          <t>SIGMA PHARMA</t>
        </is>
      </c>
      <c r="F459" s="10" t="n">
        <v>2</v>
      </c>
      <c r="G459" s="13" t="n"/>
      <c r="H459" s="14" t="n"/>
      <c r="I459" s="5" t="n"/>
      <c r="J459" s="15">
        <f>IF(G459="","",F459*G459)</f>
        <v/>
      </c>
    </row>
    <row r="460">
      <c r="A460" s="16" t="n">
        <v>446</v>
      </c>
      <c r="B460" s="16" t="n">
        <v>605291</v>
      </c>
      <c r="C460" s="17" t="inlineStr">
        <is>
          <t>7897460401934</t>
        </is>
      </c>
      <c r="D460" s="18" t="inlineStr">
        <is>
          <t>SILIMALON 100+70MG CX 10 COMP REV</t>
        </is>
      </c>
      <c r="E460" s="18" t="inlineStr">
        <is>
          <t>ZYDUS NIKKHO</t>
        </is>
      </c>
      <c r="F460" s="16" t="n">
        <v>2</v>
      </c>
      <c r="G460" s="13" t="n"/>
      <c r="H460" s="14" t="n"/>
      <c r="I460" s="5" t="n"/>
      <c r="J460" s="19">
        <f>IF(G460="","",F460*G460)</f>
        <v/>
      </c>
    </row>
    <row r="461">
      <c r="A461" s="10" t="n">
        <v>447</v>
      </c>
      <c r="B461" s="10" t="n">
        <v>618651</v>
      </c>
      <c r="C461" s="11" t="inlineStr">
        <is>
          <t>7891317020101</t>
        </is>
      </c>
      <c r="D461" s="12" t="inlineStr">
        <is>
          <t>SIMECO PLUS 120+41,5+7MG/ML SUS FR 240ML</t>
        </is>
      </c>
      <c r="E461" s="12" t="inlineStr">
        <is>
          <t>SUPERA</t>
        </is>
      </c>
      <c r="F461" s="10" t="n">
        <v>1</v>
      </c>
      <c r="G461" s="13" t="n"/>
      <c r="H461" s="14" t="n"/>
      <c r="I461" s="5" t="n"/>
      <c r="J461" s="15">
        <f>IF(G461="","",F461*G461)</f>
        <v/>
      </c>
    </row>
    <row r="462">
      <c r="A462" s="16" t="n">
        <v>448</v>
      </c>
      <c r="B462" s="16" t="n">
        <v>114821</v>
      </c>
      <c r="C462" s="17" t="inlineStr">
        <is>
          <t>7896082900337</t>
        </is>
      </c>
      <c r="D462" s="18" t="inlineStr">
        <is>
          <t>SINUSTRAT FR 10ML</t>
        </is>
      </c>
      <c r="E462" s="18" t="inlineStr">
        <is>
          <t>BIOLAB</t>
        </is>
      </c>
      <c r="F462" s="16" t="n">
        <v>1</v>
      </c>
      <c r="G462" s="13" t="n"/>
      <c r="H462" s="14" t="n"/>
      <c r="I462" s="5" t="n"/>
      <c r="J462" s="19">
        <f>IF(G462="","",F462*G462)</f>
        <v/>
      </c>
    </row>
    <row r="463">
      <c r="A463" s="10" t="n">
        <v>449</v>
      </c>
      <c r="B463" s="10" t="n">
        <v>529941</v>
      </c>
      <c r="C463" s="11" t="inlineStr">
        <is>
          <t>7908134200552</t>
        </is>
      </c>
      <c r="D463" s="12" t="inlineStr">
        <is>
          <t>SLINDA 4MG (CAIXA C/ 3 CARTELAS) C/28 COMP REV</t>
        </is>
      </c>
      <c r="E463" s="12" t="inlineStr">
        <is>
          <t>EXELTIS</t>
        </is>
      </c>
      <c r="F463" s="10" t="n">
        <v>1</v>
      </c>
      <c r="G463" s="13" t="n"/>
      <c r="H463" s="14" t="n"/>
      <c r="I463" s="5" t="n"/>
      <c r="J463" s="15">
        <f>IF(G463="","",F463*G463)</f>
        <v/>
      </c>
    </row>
    <row r="464">
      <c r="A464" s="16" t="n">
        <v>450</v>
      </c>
      <c r="B464" s="16" t="n">
        <v>529921</v>
      </c>
      <c r="C464" s="17" t="inlineStr">
        <is>
          <t>7908134200453</t>
        </is>
      </c>
      <c r="D464" s="18" t="inlineStr">
        <is>
          <t>SLINDA 4MG CX 24 COMP REV+4 PLACEBOS</t>
        </is>
      </c>
      <c r="E464" s="18" t="inlineStr">
        <is>
          <t>EXELTIS</t>
        </is>
      </c>
      <c r="F464" s="16" t="n">
        <v>5</v>
      </c>
      <c r="G464" s="13" t="n"/>
      <c r="H464" s="14" t="n"/>
      <c r="I464" s="5" t="n"/>
      <c r="J464" s="19">
        <f>IF(G464="","",F464*G464)</f>
        <v/>
      </c>
    </row>
    <row r="465">
      <c r="A465" s="10" t="n">
        <v>451</v>
      </c>
      <c r="B465" s="10" t="n">
        <v>645561</v>
      </c>
      <c r="C465" s="11" t="inlineStr">
        <is>
          <t>7897930761209</t>
        </is>
      </c>
      <c r="D465" s="12" t="inlineStr">
        <is>
          <t>SOAPEX 1% SAB 80G-DEMAIS PROD</t>
        </is>
      </c>
      <c r="E465" s="12" t="inlineStr"/>
      <c r="F465" s="10" t="n">
        <v>1</v>
      </c>
      <c r="G465" s="13" t="n"/>
      <c r="H465" s="14" t="n"/>
      <c r="I465" s="5" t="n"/>
      <c r="J465" s="15">
        <f>IF(G465="","",F465*G465)</f>
        <v/>
      </c>
    </row>
    <row r="466">
      <c r="A466" s="16" t="n">
        <v>452</v>
      </c>
      <c r="B466" s="16" t="n">
        <v>609031</v>
      </c>
      <c r="C466" s="17" t="inlineStr">
        <is>
          <t>7897930750043</t>
        </is>
      </c>
      <c r="D466" s="18" t="inlineStr">
        <is>
          <t>SOAPEX SAB 80GR</t>
        </is>
      </c>
      <c r="E466" s="18" t="inlineStr">
        <is>
          <t>GALDERMA BRASIL</t>
        </is>
      </c>
      <c r="F466" s="16" t="n">
        <v>6</v>
      </c>
      <c r="G466" s="13" t="n"/>
      <c r="H466" s="14" t="n"/>
      <c r="I466" s="5" t="n"/>
      <c r="J466" s="19">
        <f>IF(G466="","",F466*G466)</f>
        <v/>
      </c>
    </row>
    <row r="467">
      <c r="A467" s="10" t="n">
        <v>453</v>
      </c>
      <c r="B467" s="10" t="n">
        <v>609041</v>
      </c>
      <c r="C467" s="11" t="inlineStr">
        <is>
          <t>7897930750050</t>
        </is>
      </c>
      <c r="D467" s="12" t="inlineStr">
        <is>
          <t>SOAPEX SAB CREMO 120ML</t>
        </is>
      </c>
      <c r="E467" s="12" t="inlineStr">
        <is>
          <t>GALDERMA BRASIL</t>
        </is>
      </c>
      <c r="F467" s="10" t="n">
        <v>1</v>
      </c>
      <c r="G467" s="13" t="n"/>
      <c r="H467" s="14" t="n"/>
      <c r="I467" s="5" t="n"/>
      <c r="J467" s="15">
        <f>IF(G467="","",F467*G467)</f>
        <v/>
      </c>
    </row>
    <row r="468">
      <c r="A468" s="16" t="n">
        <v>454</v>
      </c>
      <c r="B468" s="16" t="n">
        <v>28903</v>
      </c>
      <c r="C468" s="17" t="inlineStr">
        <is>
          <t>7899706198004</t>
        </is>
      </c>
      <c r="D468" s="18" t="inlineStr">
        <is>
          <t>SOLAR EXPERTISE ANTIOLEO F30 40G-DEMAIS PROD</t>
        </is>
      </c>
      <c r="E468" s="18" t="inlineStr">
        <is>
          <t>LOREAL</t>
        </is>
      </c>
      <c r="F468" s="16" t="n">
        <v>1</v>
      </c>
      <c r="G468" s="13" t="n"/>
      <c r="H468" s="14" t="n"/>
      <c r="I468" s="5" t="n"/>
      <c r="J468" s="19">
        <f>IF(G468="","",F468*G468)</f>
        <v/>
      </c>
    </row>
    <row r="469">
      <c r="A469" s="10" t="n">
        <v>455</v>
      </c>
      <c r="B469" s="10" t="n">
        <v>264581</v>
      </c>
      <c r="C469" s="11" t="inlineStr">
        <is>
          <t>7894916512022</t>
        </is>
      </c>
      <c r="D469" s="12" t="inlineStr">
        <is>
          <t>SOMALGIN CARDIO 100MG CX 60 COMP REV</t>
        </is>
      </c>
      <c r="E469" s="12" t="inlineStr">
        <is>
          <t>SIGMA PHARMA</t>
        </is>
      </c>
      <c r="F469" s="10" t="n">
        <v>3</v>
      </c>
      <c r="G469" s="13" t="n"/>
      <c r="H469" s="14" t="n"/>
      <c r="I469" s="5" t="n"/>
      <c r="J469" s="15">
        <f>IF(G469="","",F469*G469)</f>
        <v/>
      </c>
    </row>
    <row r="470">
      <c r="A470" s="16" t="n">
        <v>456</v>
      </c>
      <c r="B470" s="16" t="n">
        <v>264541</v>
      </c>
      <c r="C470" s="17" t="inlineStr">
        <is>
          <t>7894916512107</t>
        </is>
      </c>
      <c r="D470" s="18" t="inlineStr">
        <is>
          <t>SOMALGIN CARDIO 81MG 6 BLT 10 COMP REV-S</t>
        </is>
      </c>
      <c r="E470" s="18" t="inlineStr">
        <is>
          <t>SIGMA PHARMA</t>
        </is>
      </c>
      <c r="F470" s="16" t="n">
        <v>6</v>
      </c>
      <c r="G470" s="13" t="n"/>
      <c r="H470" s="14" t="n"/>
      <c r="I470" s="5" t="n"/>
      <c r="J470" s="19">
        <f>IF(G470="","",F470*G470)</f>
        <v/>
      </c>
    </row>
    <row r="471">
      <c r="A471" s="10" t="n">
        <v>457</v>
      </c>
      <c r="B471" s="10" t="n">
        <v>670411</v>
      </c>
      <c r="C471" s="11" t="inlineStr">
        <is>
          <t>7896090611928</t>
        </is>
      </c>
      <c r="D471" s="12" t="inlineStr">
        <is>
          <t>SONRIDOR RAPID FORTE BLIS 10X4-OUTROS</t>
        </is>
      </c>
      <c r="E471" s="12" t="inlineStr">
        <is>
          <t>HALEON</t>
        </is>
      </c>
      <c r="F471" s="10" t="n">
        <v>1</v>
      </c>
      <c r="G471" s="13" t="n"/>
      <c r="H471" s="14" t="n"/>
      <c r="I471" s="5" t="n"/>
      <c r="J471" s="15">
        <f>IF(G471="","",F471*G471)</f>
        <v/>
      </c>
    </row>
    <row r="472">
      <c r="A472" s="16" t="n">
        <v>458</v>
      </c>
      <c r="B472" s="16" t="n">
        <v>539641</v>
      </c>
      <c r="C472" s="17" t="inlineStr">
        <is>
          <t>7896658012303</t>
        </is>
      </c>
      <c r="D472" s="18" t="inlineStr">
        <is>
          <t>SORINE (N.S.) 0,1+9,0MG SOL NAS FR 30ML+CGT INF</t>
        </is>
      </c>
      <c r="E472" s="18" t="inlineStr">
        <is>
          <t>ACHE</t>
        </is>
      </c>
      <c r="F472" s="16" t="n">
        <v>2</v>
      </c>
      <c r="G472" s="13" t="n"/>
      <c r="H472" s="14" t="n"/>
      <c r="I472" s="5" t="n"/>
      <c r="J472" s="19">
        <f>IF(G472="","",F472*G472)</f>
        <v/>
      </c>
    </row>
    <row r="473">
      <c r="A473" s="10" t="n">
        <v>459</v>
      </c>
      <c r="B473" s="10" t="n">
        <v>297921</v>
      </c>
      <c r="C473" s="11" t="inlineStr">
        <is>
          <t>7898074617803</t>
        </is>
      </c>
      <c r="D473" s="12" t="inlineStr">
        <is>
          <t>SPIDUFEN 1155MG GRAN SOL CX 10 ENV 3G SB DAMASCO</t>
        </is>
      </c>
      <c r="E473" s="12" t="inlineStr">
        <is>
          <t>ZAMBON</t>
        </is>
      </c>
      <c r="F473" s="10" t="n">
        <v>1</v>
      </c>
      <c r="G473" s="13" t="n"/>
      <c r="H473" s="14" t="n"/>
      <c r="I473" s="5" t="n"/>
      <c r="J473" s="15">
        <f>IF(G473="","",F473*G473)</f>
        <v/>
      </c>
    </row>
    <row r="474">
      <c r="A474" s="16" t="n">
        <v>460</v>
      </c>
      <c r="B474" s="16" t="n">
        <v>654011</v>
      </c>
      <c r="C474" s="17" t="inlineStr">
        <is>
          <t>7894916518819</t>
        </is>
      </c>
      <c r="D474" s="18" t="inlineStr">
        <is>
          <t>SUCRAFILM 200MG/ML SUSP FR+1SER-SIMILAR</t>
        </is>
      </c>
      <c r="E474" s="18" t="inlineStr">
        <is>
          <t>SIGMA PHARMA</t>
        </is>
      </c>
      <c r="F474" s="16" t="n">
        <v>1</v>
      </c>
      <c r="G474" s="13" t="n"/>
      <c r="H474" s="14" t="n"/>
      <c r="I474" s="5" t="n"/>
      <c r="J474" s="19">
        <f>IF(G474="","",F474*G474)</f>
        <v/>
      </c>
    </row>
    <row r="475">
      <c r="A475" s="10" t="n">
        <v>461</v>
      </c>
      <c r="B475" s="10" t="n">
        <v>665971</v>
      </c>
      <c r="C475" s="11" t="inlineStr">
        <is>
          <t>7896026172202</t>
        </is>
      </c>
      <c r="D475" s="12" t="inlineStr">
        <is>
          <t>SUNMAX INTENSE FPS60 - 60G-DEMAIS PROD</t>
        </is>
      </c>
      <c r="E475" s="12" t="inlineStr">
        <is>
          <t>SUN PHARMA</t>
        </is>
      </c>
      <c r="F475" s="10" t="n">
        <v>1</v>
      </c>
      <c r="G475" s="13" t="n"/>
      <c r="H475" s="14" t="n"/>
      <c r="I475" s="5" t="n"/>
      <c r="J475" s="15">
        <f>IF(G475="","",F475*G475)</f>
        <v/>
      </c>
    </row>
    <row r="476">
      <c r="A476" s="16" t="n">
        <v>462</v>
      </c>
      <c r="B476" s="16" t="n">
        <v>413961</v>
      </c>
      <c r="C476" s="17" t="inlineStr">
        <is>
          <t>7898040323141</t>
        </is>
      </c>
      <c r="D476" s="18" t="inlineStr">
        <is>
          <t>SUSTRATE 10MG CX 50 COMP</t>
        </is>
      </c>
      <c r="E476" s="18" t="inlineStr">
        <is>
          <t>FQM/FARMA</t>
        </is>
      </c>
      <c r="F476" s="16" t="n">
        <v>3</v>
      </c>
      <c r="G476" s="13" t="n"/>
      <c r="H476" s="14" t="n"/>
      <c r="I476" s="5" t="n"/>
      <c r="J476" s="19">
        <f>IF(G476="","",F476*G476)</f>
        <v/>
      </c>
    </row>
    <row r="477">
      <c r="A477" s="10" t="n">
        <v>463</v>
      </c>
      <c r="B477" s="10" t="n">
        <v>571421</v>
      </c>
      <c r="C477" s="11" t="inlineStr">
        <is>
          <t>300651481198</t>
        </is>
      </c>
      <c r="D477" s="12" t="inlineStr">
        <is>
          <t>SYSTANE COMPLETE FR 10ML</t>
        </is>
      </c>
      <c r="E477" s="12" t="inlineStr">
        <is>
          <t>ALCON</t>
        </is>
      </c>
      <c r="F477" s="10" t="n">
        <v>2</v>
      </c>
      <c r="G477" s="13" t="n"/>
      <c r="H477" s="14" t="n"/>
      <c r="I477" s="5" t="n"/>
      <c r="J477" s="15">
        <f>IF(G477="","",F477*G477)</f>
        <v/>
      </c>
    </row>
    <row r="478">
      <c r="A478" s="16" t="n">
        <v>464</v>
      </c>
      <c r="B478" s="16" t="n">
        <v>539601</v>
      </c>
      <c r="C478" s="17" t="inlineStr">
        <is>
          <t>300652439259</t>
        </is>
      </c>
      <c r="D478" s="18" t="inlineStr">
        <is>
          <t>SYSTANE ULTRA FCO X10ML</t>
        </is>
      </c>
      <c r="E478" s="18" t="inlineStr">
        <is>
          <t>ALCON</t>
        </is>
      </c>
      <c r="F478" s="16" t="n">
        <v>3</v>
      </c>
      <c r="G478" s="13" t="n"/>
      <c r="H478" s="14" t="n"/>
      <c r="I478" s="5" t="n"/>
      <c r="J478" s="19">
        <f>IF(G478="","",F478*G478)</f>
        <v/>
      </c>
    </row>
    <row r="479">
      <c r="A479" s="16" t="n">
        <v>465</v>
      </c>
      <c r="B479" s="16" t="n">
        <v>539601</v>
      </c>
      <c r="C479" s="17" t="inlineStr">
        <is>
          <t>7896548197738</t>
        </is>
      </c>
      <c r="D479" s="18" t="inlineStr">
        <is>
          <t>SYSTANE ULTRA FCO X10ML</t>
        </is>
      </c>
      <c r="E479" s="18" t="inlineStr">
        <is>
          <t>ALCON</t>
        </is>
      </c>
      <c r="F479" s="16" t="n">
        <v>3</v>
      </c>
      <c r="G479" s="13" t="n"/>
      <c r="H479" s="14" t="n"/>
      <c r="I479" s="5" t="n"/>
      <c r="J479" s="19">
        <f>IF(G479="","",F479*G479)</f>
        <v/>
      </c>
    </row>
    <row r="480">
      <c r="A480" s="10" t="n">
        <v>466</v>
      </c>
      <c r="B480" s="10" t="n">
        <v>262121</v>
      </c>
      <c r="C480" s="11" t="inlineStr">
        <is>
          <t>7891317465049</t>
        </is>
      </c>
      <c r="D480" s="12" t="inlineStr">
        <is>
          <t>TAMISA 0,075+0,020MG CX 21 DRG</t>
        </is>
      </c>
      <c r="E480" s="12" t="inlineStr">
        <is>
          <t>EUROFARMA</t>
        </is>
      </c>
      <c r="F480" s="10" t="n">
        <v>7</v>
      </c>
      <c r="G480" s="13" t="n"/>
      <c r="H480" s="14" t="n"/>
      <c r="I480" s="5" t="n"/>
      <c r="J480" s="15">
        <f>IF(G480="","",F480*G480)</f>
        <v/>
      </c>
    </row>
    <row r="481">
      <c r="A481" s="16" t="n">
        <v>467</v>
      </c>
      <c r="B481" s="16" t="n">
        <v>561041</v>
      </c>
      <c r="C481" s="17" t="inlineStr">
        <is>
          <t>7891317009724</t>
        </is>
      </c>
      <c r="D481" s="18" t="inlineStr">
        <is>
          <t>TAMISA NF 0,075+0,030MG CAIXA C/ 3 CARTELAS COMP REV</t>
        </is>
      </c>
      <c r="E481" s="18" t="inlineStr">
        <is>
          <t>EUROFARMA</t>
        </is>
      </c>
      <c r="F481" s="16" t="n">
        <v>2</v>
      </c>
      <c r="G481" s="13" t="n"/>
      <c r="H481" s="14" t="n"/>
      <c r="I481" s="5" t="n"/>
      <c r="J481" s="19">
        <f>IF(G481="","",F481*G481)</f>
        <v/>
      </c>
    </row>
    <row r="482">
      <c r="A482" s="10" t="n">
        <v>468</v>
      </c>
      <c r="B482" s="10" t="n">
        <v>572301</v>
      </c>
      <c r="C482" s="11" t="inlineStr">
        <is>
          <t>7891317009755</t>
        </is>
      </c>
      <c r="D482" s="12" t="inlineStr">
        <is>
          <t>TAMISA NF 0,075+0,030MG SEM PARAR (CAIXA C/ 3 CARTELAS)</t>
        </is>
      </c>
      <c r="E482" s="12" t="inlineStr">
        <is>
          <t>EUROFARMA</t>
        </is>
      </c>
      <c r="F482" s="10" t="n">
        <v>2</v>
      </c>
      <c r="G482" s="13" t="n"/>
      <c r="H482" s="14" t="n"/>
      <c r="I482" s="5" t="n"/>
      <c r="J482" s="15">
        <f>IF(G482="","",F482*G482)</f>
        <v/>
      </c>
    </row>
    <row r="483">
      <c r="A483" s="10" t="n">
        <v>469</v>
      </c>
      <c r="B483" s="10" t="n">
        <v>572301</v>
      </c>
      <c r="C483" s="11" t="inlineStr">
        <is>
          <t>7891317009748</t>
        </is>
      </c>
      <c r="D483" s="12" t="inlineStr">
        <is>
          <t>TAMISA NF 0,075+0,030MG SEM PARAR (CAIXA C/ 3 CARTELAS)</t>
        </is>
      </c>
      <c r="E483" s="12" t="inlineStr">
        <is>
          <t>EUROFARMA</t>
        </is>
      </c>
      <c r="F483" s="10" t="n">
        <v>2</v>
      </c>
      <c r="G483" s="13" t="n"/>
      <c r="H483" s="14" t="n"/>
      <c r="I483" s="5" t="n"/>
      <c r="J483" s="15">
        <f>IF(G483="","",F483*G483)</f>
        <v/>
      </c>
    </row>
    <row r="484">
      <c r="A484" s="16" t="n">
        <v>470</v>
      </c>
      <c r="B484" s="16" t="n">
        <v>455901</v>
      </c>
      <c r="C484" s="17" t="inlineStr">
        <is>
          <t>7896094206014</t>
        </is>
      </c>
      <c r="D484" s="18" t="inlineStr">
        <is>
          <t>TARFIC 0,3MG POM BG 10G</t>
        </is>
      </c>
      <c r="E484" s="18" t="inlineStr">
        <is>
          <t>LIBBS</t>
        </is>
      </c>
      <c r="F484" s="16" t="n">
        <v>1</v>
      </c>
      <c r="G484" s="13" t="n"/>
      <c r="H484" s="14" t="n"/>
      <c r="I484" s="5" t="n"/>
      <c r="J484" s="19">
        <f>IF(G484="","",F484*G484)</f>
        <v/>
      </c>
    </row>
    <row r="485">
      <c r="A485" s="10" t="n">
        <v>471</v>
      </c>
      <c r="B485" s="10" t="n">
        <v>572341</v>
      </c>
      <c r="C485" s="11" t="inlineStr">
        <is>
          <t>7500435171090</t>
        </is>
      </c>
      <c r="D485" s="12" t="inlineStr">
        <is>
          <t>TESTE DE GRAVIDEZ CLEARBLUE DIGIT 1UN</t>
        </is>
      </c>
      <c r="E485" s="12" t="inlineStr">
        <is>
          <t>PROCTER   GAMBLE DO BRASIL</t>
        </is>
      </c>
      <c r="F485" s="10" t="n">
        <v>4</v>
      </c>
      <c r="G485" s="13" t="n"/>
      <c r="H485" s="14" t="n"/>
      <c r="I485" s="5" t="n"/>
      <c r="J485" s="15">
        <f>IF(G485="","",F485*G485)</f>
        <v/>
      </c>
    </row>
    <row r="486">
      <c r="A486" s="16" t="n">
        <v>472</v>
      </c>
      <c r="B486" s="16" t="n">
        <v>416441</v>
      </c>
      <c r="C486" s="17" t="inlineStr">
        <is>
          <t>7898906376410</t>
        </is>
      </c>
      <c r="D486" s="18" t="inlineStr">
        <is>
          <t>TIORFAN 100MG CX 9 CAP</t>
        </is>
      </c>
      <c r="E486" s="18" t="inlineStr">
        <is>
          <t>BAGO</t>
        </is>
      </c>
      <c r="F486" s="16" t="n">
        <v>10</v>
      </c>
      <c r="G486" s="13" t="n"/>
      <c r="H486" s="14" t="n"/>
      <c r="I486" s="5" t="n"/>
      <c r="J486" s="19">
        <f>IF(G486="","",F486*G486)</f>
        <v/>
      </c>
    </row>
    <row r="487">
      <c r="A487" s="10" t="n">
        <v>473</v>
      </c>
      <c r="B487" s="10" t="n">
        <v>3153</v>
      </c>
      <c r="C487" s="11" t="inlineStr">
        <is>
          <t>7898301056757</t>
        </is>
      </c>
      <c r="D487" s="12" t="inlineStr">
        <is>
          <t>TIRA DE TESTE DE GLICOSE C/25 UND FREE 1</t>
        </is>
      </c>
      <c r="E487" s="12" t="inlineStr">
        <is>
          <t>G-TECH</t>
        </is>
      </c>
      <c r="F487" s="10" t="n">
        <v>5</v>
      </c>
      <c r="G487" s="13" t="n"/>
      <c r="H487" s="14" t="n"/>
      <c r="I487" s="5" t="n"/>
      <c r="J487" s="15">
        <f>IF(G487="","",F487*G487)</f>
        <v/>
      </c>
    </row>
    <row r="488">
      <c r="A488" s="16" t="n">
        <v>474</v>
      </c>
      <c r="B488" s="16" t="n">
        <v>3163</v>
      </c>
      <c r="C488" s="17" t="inlineStr">
        <is>
          <t>7898301056740</t>
        </is>
      </c>
      <c r="D488" s="18" t="inlineStr">
        <is>
          <t>TIRA DE TESTE DE GLICOSE C/50 UND FREE 1</t>
        </is>
      </c>
      <c r="E488" s="18" t="inlineStr">
        <is>
          <t>G-TECH</t>
        </is>
      </c>
      <c r="F488" s="16" t="n">
        <v>16</v>
      </c>
      <c r="G488" s="13" t="n"/>
      <c r="H488" s="14" t="n"/>
      <c r="I488" s="5" t="n"/>
      <c r="J488" s="19">
        <f>IF(G488="","",F488*G488)</f>
        <v/>
      </c>
    </row>
    <row r="489">
      <c r="A489" s="10" t="n">
        <v>475</v>
      </c>
      <c r="B489" s="10" t="n">
        <v>619341</v>
      </c>
      <c r="C489" s="11" t="inlineStr">
        <is>
          <t>7898301059642</t>
        </is>
      </c>
      <c r="D489" s="12" t="inlineStr">
        <is>
          <t>TIRAS P/ MEDIR GLICOSE C/25 LITE</t>
        </is>
      </c>
      <c r="E489" s="12" t="inlineStr">
        <is>
          <t>G-TECH</t>
        </is>
      </c>
      <c r="F489" s="10" t="n">
        <v>4</v>
      </c>
      <c r="G489" s="13" t="n"/>
      <c r="H489" s="14" t="n"/>
      <c r="I489" s="5" t="n"/>
      <c r="J489" s="15">
        <f>IF(G489="","",F489*G489)</f>
        <v/>
      </c>
    </row>
    <row r="490">
      <c r="A490" s="16" t="n">
        <v>476</v>
      </c>
      <c r="B490" s="16" t="n">
        <v>464521</v>
      </c>
      <c r="C490" s="17" t="inlineStr">
        <is>
          <t>7896548112717</t>
        </is>
      </c>
      <c r="D490" s="18" t="inlineStr">
        <is>
          <t>TOBREX 3MG SOL OFT FR GTS 5ML</t>
        </is>
      </c>
      <c r="E490" s="18" t="inlineStr">
        <is>
          <t>NOVARTIS</t>
        </is>
      </c>
      <c r="F490" s="16" t="n">
        <v>1</v>
      </c>
      <c r="G490" s="13" t="n"/>
      <c r="H490" s="14" t="n"/>
      <c r="I490" s="5" t="n"/>
      <c r="J490" s="19">
        <f>IF(G490="","",F490*G490)</f>
        <v/>
      </c>
    </row>
    <row r="491">
      <c r="A491" s="10" t="n">
        <v>477</v>
      </c>
      <c r="B491" s="10" t="n">
        <v>615421</v>
      </c>
      <c r="C491" s="11" t="inlineStr">
        <is>
          <t>4005900889737</t>
        </is>
      </c>
      <c r="D491" s="12" t="inlineStr">
        <is>
          <t>TONICO NIVEA AQUA ROSE 200ML</t>
        </is>
      </c>
      <c r="E491" s="12" t="inlineStr">
        <is>
          <t>NIVEA</t>
        </is>
      </c>
      <c r="F491" s="10" t="n">
        <v>1</v>
      </c>
      <c r="G491" s="13" t="n"/>
      <c r="H491" s="14" t="n"/>
      <c r="I491" s="5" t="n"/>
      <c r="J491" s="15">
        <f>IF(G491="","",F491*G491)</f>
        <v/>
      </c>
    </row>
    <row r="492">
      <c r="A492" s="16" t="n">
        <v>478</v>
      </c>
      <c r="B492" s="16" t="n">
        <v>596521</v>
      </c>
      <c r="C492" s="17" t="inlineStr">
        <is>
          <t>7894916516006</t>
        </is>
      </c>
      <c r="D492" s="18" t="inlineStr">
        <is>
          <t>TORAGESIC 10MG PEEL OFF CX 10 COMP</t>
        </is>
      </c>
      <c r="E492" s="18" t="inlineStr">
        <is>
          <t>SIGMA PHARMA</t>
        </is>
      </c>
      <c r="F492" s="16" t="n">
        <v>9</v>
      </c>
      <c r="G492" s="13" t="n"/>
      <c r="H492" s="14" t="n"/>
      <c r="I492" s="5" t="n"/>
      <c r="J492" s="19">
        <f>IF(G492="","",F492*G492)</f>
        <v/>
      </c>
    </row>
    <row r="493">
      <c r="A493" s="10" t="n">
        <v>479</v>
      </c>
      <c r="B493" s="10" t="n">
        <v>632821</v>
      </c>
      <c r="C493" s="11" t="inlineStr">
        <is>
          <t>7894916516013</t>
        </is>
      </c>
      <c r="D493" s="12" t="inlineStr">
        <is>
          <t>TORAGESIC 10MG PEEL OFF CX 20 COMP</t>
        </is>
      </c>
      <c r="E493" s="12" t="inlineStr">
        <is>
          <t>SIGMA PHARMA</t>
        </is>
      </c>
      <c r="F493" s="10" t="n">
        <v>12</v>
      </c>
      <c r="G493" s="13" t="n"/>
      <c r="H493" s="14" t="n"/>
      <c r="I493" s="5" t="n"/>
      <c r="J493" s="15">
        <f>IF(G493="","",F493*G493)</f>
        <v/>
      </c>
    </row>
    <row r="494">
      <c r="A494" s="16" t="n">
        <v>480</v>
      </c>
      <c r="B494" s="16" t="n">
        <v>505881</v>
      </c>
      <c r="C494" s="17" t="inlineStr">
        <is>
          <t>7897460401668</t>
        </is>
      </c>
      <c r="D494" s="18" t="inlineStr">
        <is>
          <t>TRANSAMIN 250MG CX 12 COMP</t>
        </is>
      </c>
      <c r="E494" s="18" t="inlineStr">
        <is>
          <t>ZYDUS NIKKHO</t>
        </is>
      </c>
      <c r="F494" s="16" t="n">
        <v>2</v>
      </c>
      <c r="G494" s="13" t="n"/>
      <c r="H494" s="14" t="n"/>
      <c r="I494" s="5" t="n"/>
      <c r="J494" s="19">
        <f>IF(G494="","",F494*G494)</f>
        <v/>
      </c>
    </row>
    <row r="495">
      <c r="A495" s="10" t="n">
        <v>481</v>
      </c>
      <c r="B495" s="10" t="n">
        <v>207441</v>
      </c>
      <c r="C495" s="11" t="inlineStr">
        <is>
          <t>7896226102504</t>
        </is>
      </c>
      <c r="D495" s="12" t="inlineStr">
        <is>
          <t>TRIVAGEL-N CREME VAG BG 60G+10APLIC</t>
        </is>
      </c>
      <c r="E495" s="12" t="inlineStr">
        <is>
          <t>MARJAN</t>
        </is>
      </c>
      <c r="F495" s="10" t="n">
        <v>6</v>
      </c>
      <c r="G495" s="13" t="n"/>
      <c r="H495" s="14" t="n"/>
      <c r="I495" s="5" t="n"/>
      <c r="J495" s="15">
        <f>IF(G495="","",F495*G495)</f>
        <v/>
      </c>
    </row>
    <row r="496">
      <c r="A496" s="16" t="n">
        <v>482</v>
      </c>
      <c r="B496" s="16" t="n">
        <v>609051</v>
      </c>
      <c r="C496" s="17" t="inlineStr">
        <is>
          <t>7891317025564</t>
        </is>
      </c>
      <c r="D496" s="18" t="inlineStr">
        <is>
          <t>TROK 20+0,5MG/G CREM DERM BG 10G</t>
        </is>
      </c>
      <c r="E496" s="18" t="inlineStr">
        <is>
          <t>EUROFARMA</t>
        </is>
      </c>
      <c r="F496" s="16" t="n">
        <v>2</v>
      </c>
      <c r="G496" s="13" t="n"/>
      <c r="H496" s="14" t="n"/>
      <c r="I496" s="5" t="n"/>
      <c r="J496" s="19">
        <f>IF(G496="","",F496*G496)</f>
        <v/>
      </c>
    </row>
    <row r="497">
      <c r="A497" s="10" t="n">
        <v>483</v>
      </c>
      <c r="B497" s="10" t="n">
        <v>613001</v>
      </c>
      <c r="C497" s="11" t="inlineStr">
        <is>
          <t>7891317025571</t>
        </is>
      </c>
      <c r="D497" s="12" t="inlineStr">
        <is>
          <t>TROK 20+0,5MG/G CREM DERM BG 30</t>
        </is>
      </c>
      <c r="E497" s="12" t="inlineStr">
        <is>
          <t>EUROFARMA</t>
        </is>
      </c>
      <c r="F497" s="10" t="n">
        <v>3</v>
      </c>
      <c r="G497" s="13" t="n"/>
      <c r="H497" s="14" t="n"/>
      <c r="I497" s="5" t="n"/>
      <c r="J497" s="15">
        <f>IF(G497="","",F497*G497)</f>
        <v/>
      </c>
    </row>
    <row r="498">
      <c r="A498" s="16" t="n">
        <v>484</v>
      </c>
      <c r="B498" s="16" t="n">
        <v>640321</v>
      </c>
      <c r="C498" s="17" t="inlineStr">
        <is>
          <t>7891317025533</t>
        </is>
      </c>
      <c r="D498" s="18" t="inlineStr">
        <is>
          <t>TROK 20+0,5MG/G POM DERM BG 10G</t>
        </is>
      </c>
      <c r="E498" s="18" t="inlineStr">
        <is>
          <t>EUROFARMA</t>
        </is>
      </c>
      <c r="F498" s="16" t="n">
        <v>1</v>
      </c>
      <c r="G498" s="13" t="n"/>
      <c r="H498" s="14" t="n"/>
      <c r="I498" s="5" t="n"/>
      <c r="J498" s="19">
        <f>IF(G498="","",F498*G498)</f>
        <v/>
      </c>
    </row>
    <row r="499">
      <c r="A499" s="10" t="n">
        <v>485</v>
      </c>
      <c r="B499" s="10" t="n">
        <v>451961</v>
      </c>
      <c r="C499" s="11" t="inlineStr">
        <is>
          <t>7891317412555</t>
        </is>
      </c>
      <c r="D499" s="12" t="inlineStr">
        <is>
          <t>TROK-N POM TB 10G</t>
        </is>
      </c>
      <c r="E499" s="12" t="inlineStr">
        <is>
          <t>EUROFARMA</t>
        </is>
      </c>
      <c r="F499" s="10" t="n">
        <v>2</v>
      </c>
      <c r="G499" s="13" t="n"/>
      <c r="H499" s="14" t="n"/>
      <c r="I499" s="5" t="n"/>
      <c r="J499" s="15">
        <f>IF(G499="","",F499*G499)</f>
        <v/>
      </c>
    </row>
    <row r="500">
      <c r="A500" s="16" t="n">
        <v>486</v>
      </c>
      <c r="B500" s="16" t="n">
        <v>70821</v>
      </c>
      <c r="C500" s="17" t="inlineStr">
        <is>
          <t>7894916208154</t>
        </is>
      </c>
      <c r="D500" s="18" t="inlineStr">
        <is>
          <t>TROPINAL CX 20 COMP</t>
        </is>
      </c>
      <c r="E500" s="18" t="inlineStr">
        <is>
          <t>SIGMA PHARMA</t>
        </is>
      </c>
      <c r="F500" s="16" t="n">
        <v>15</v>
      </c>
      <c r="G500" s="13" t="n"/>
      <c r="H500" s="14" t="n"/>
      <c r="I500" s="5" t="n"/>
      <c r="J500" s="19">
        <f>IF(G500="","",F500*G500)</f>
        <v/>
      </c>
    </row>
    <row r="501">
      <c r="A501" s="10" t="n">
        <v>487</v>
      </c>
      <c r="B501" s="10" t="n">
        <v>395721</v>
      </c>
      <c r="C501" s="11" t="inlineStr">
        <is>
          <t>7891010255947</t>
        </is>
      </c>
      <c r="D501" s="12" t="inlineStr">
        <is>
          <t>TYLENOL 200MG SOL OR FR GTS 15ML</t>
        </is>
      </c>
      <c r="E501" s="12" t="inlineStr">
        <is>
          <t>JANSSEN-CILAG</t>
        </is>
      </c>
      <c r="F501" s="10" t="n">
        <v>1</v>
      </c>
      <c r="G501" s="13" t="n"/>
      <c r="H501" s="14" t="n"/>
      <c r="I501" s="5" t="n"/>
      <c r="J501" s="15">
        <f>IF(G501="","",F501*G501)</f>
        <v/>
      </c>
    </row>
    <row r="502">
      <c r="A502" s="16" t="n">
        <v>488</v>
      </c>
      <c r="B502" s="16" t="n">
        <v>395741</v>
      </c>
      <c r="C502" s="17" t="inlineStr">
        <is>
          <t>7891010255909</t>
        </is>
      </c>
      <c r="D502" s="18" t="inlineStr">
        <is>
          <t>TYLENOL BEBE 100MG SUS OR FR GTS 15ML+SER DOS</t>
        </is>
      </c>
      <c r="E502" s="18" t="inlineStr">
        <is>
          <t>JANSSEN-CILAG</t>
        </is>
      </c>
      <c r="F502" s="16" t="n">
        <v>2</v>
      </c>
      <c r="G502" s="13" t="n"/>
      <c r="H502" s="14" t="n"/>
      <c r="I502" s="5" t="n"/>
      <c r="J502" s="19">
        <f>IF(G502="","",F502*G502)</f>
        <v/>
      </c>
    </row>
    <row r="503">
      <c r="A503" s="10" t="n">
        <v>489</v>
      </c>
      <c r="B503" s="10" t="n">
        <v>398541</v>
      </c>
      <c r="C503" s="11" t="inlineStr">
        <is>
          <t>7891010256968</t>
        </is>
      </c>
      <c r="D503" s="12" t="inlineStr">
        <is>
          <t>TYLENOL SINUS 500+30MG CX 24 COMP REV</t>
        </is>
      </c>
      <c r="E503" s="12" t="inlineStr">
        <is>
          <t>JOHNSON &amp; JOHNSON</t>
        </is>
      </c>
      <c r="F503" s="10" t="n">
        <v>3</v>
      </c>
      <c r="G503" s="13" t="n"/>
      <c r="H503" s="14" t="n"/>
      <c r="I503" s="5" t="n"/>
      <c r="J503" s="15">
        <f>IF(G503="","",F503*G503)</f>
        <v/>
      </c>
    </row>
    <row r="504">
      <c r="A504" s="16" t="n">
        <v>490</v>
      </c>
      <c r="B504" s="16" t="n">
        <v>398581</v>
      </c>
      <c r="C504" s="17" t="inlineStr">
        <is>
          <t>7891010246952</t>
        </is>
      </c>
      <c r="D504" s="18" t="inlineStr">
        <is>
          <t>TYLENOL SINUS 500+30MG CX 36 COMP REV</t>
        </is>
      </c>
      <c r="E504" s="18" t="inlineStr">
        <is>
          <t>JANSSEN-CILAG</t>
        </is>
      </c>
      <c r="F504" s="16" t="n">
        <v>4</v>
      </c>
      <c r="G504" s="13" t="n"/>
      <c r="H504" s="14" t="n"/>
      <c r="I504" s="5" t="n"/>
      <c r="J504" s="19">
        <f>IF(G504="","",F504*G504)</f>
        <v/>
      </c>
    </row>
    <row r="505">
      <c r="A505" s="10" t="n">
        <v>491</v>
      </c>
      <c r="B505" s="10" t="n">
        <v>654341</v>
      </c>
      <c r="C505" s="11" t="inlineStr">
        <is>
          <t>7891653014277</t>
        </is>
      </c>
      <c r="D505" s="12" t="inlineStr">
        <is>
          <t>VAGISIL DEO INTIMO FLOR DE PESSEGUEIRO 75ML</t>
        </is>
      </c>
      <c r="E505" s="12" t="inlineStr"/>
      <c r="F505" s="10" t="n">
        <v>1</v>
      </c>
      <c r="G505" s="13" t="n"/>
      <c r="H505" s="14" t="n"/>
      <c r="I505" s="5" t="n"/>
      <c r="J505" s="15">
        <f>IF(G505="","",F505*G505)</f>
        <v/>
      </c>
    </row>
    <row r="506">
      <c r="A506" s="16" t="n">
        <v>492</v>
      </c>
      <c r="B506" s="16" t="n">
        <v>33303</v>
      </c>
      <c r="C506" s="17" t="inlineStr">
        <is>
          <t>7891137003421</t>
        </is>
      </c>
      <c r="D506" s="18" t="inlineStr">
        <is>
          <t>VALDA FRIENDS MENTA SAC 25G</t>
        </is>
      </c>
      <c r="E506" s="18" t="inlineStr">
        <is>
          <t>CANONNE</t>
        </is>
      </c>
      <c r="F506" s="16" t="n">
        <v>12</v>
      </c>
      <c r="G506" s="13" t="n"/>
      <c r="H506" s="14" t="n"/>
      <c r="I506" s="5" t="n"/>
      <c r="J506" s="19">
        <f>IF(G506="","",F506*G506)</f>
        <v/>
      </c>
    </row>
    <row r="507">
      <c r="A507" s="16" t="n">
        <v>493</v>
      </c>
      <c r="B507" s="16" t="n">
        <v>33303</v>
      </c>
      <c r="C507" s="17" t="inlineStr">
        <is>
          <t>78915398</t>
        </is>
      </c>
      <c r="D507" s="18" t="inlineStr">
        <is>
          <t>VALDA FRIENDS MENTA SAC 25G</t>
        </is>
      </c>
      <c r="E507" s="18" t="inlineStr">
        <is>
          <t>CANONNE</t>
        </is>
      </c>
      <c r="F507" s="16" t="n">
        <v>12</v>
      </c>
      <c r="G507" s="13" t="n"/>
      <c r="H507" s="14" t="n"/>
      <c r="I507" s="5" t="n"/>
      <c r="J507" s="19">
        <f>IF(G507="","",F507*G507)</f>
        <v/>
      </c>
    </row>
    <row r="508">
      <c r="A508" s="10" t="n">
        <v>494</v>
      </c>
      <c r="B508" s="10" t="n">
        <v>20901</v>
      </c>
      <c r="C508" s="11" t="inlineStr">
        <is>
          <t>7898040328535</t>
        </is>
      </c>
      <c r="D508" s="12" t="inlineStr">
        <is>
          <t>VARICELL PHYTO CX 30 CAP</t>
        </is>
      </c>
      <c r="E508" s="12" t="inlineStr">
        <is>
          <t>FQM/DIVCOM</t>
        </is>
      </c>
      <c r="F508" s="10" t="n">
        <v>1</v>
      </c>
      <c r="G508" s="13" t="n"/>
      <c r="H508" s="14" t="n"/>
      <c r="I508" s="5" t="n"/>
      <c r="J508" s="15">
        <f>IF(G508="","",F508*G508)</f>
        <v/>
      </c>
    </row>
    <row r="509">
      <c r="A509" s="16" t="n">
        <v>495</v>
      </c>
      <c r="B509" s="16" t="n">
        <v>476781</v>
      </c>
      <c r="C509" s="17" t="inlineStr">
        <is>
          <t>7896658024993</t>
        </is>
      </c>
      <c r="D509" s="18" t="inlineStr">
        <is>
          <t>VENCIDO - BRAVAN DUO 320,0+5,0MG CX 30 COMP REV</t>
        </is>
      </c>
      <c r="E509" s="18" t="inlineStr">
        <is>
          <t>ACHE</t>
        </is>
      </c>
      <c r="F509" s="16" t="n">
        <v>1</v>
      </c>
      <c r="G509" s="13" t="n"/>
      <c r="H509" s="14" t="n"/>
      <c r="I509" s="5" t="n"/>
      <c r="J509" s="19">
        <f>IF(G509="","",F509*G509)</f>
        <v/>
      </c>
    </row>
    <row r="510">
      <c r="A510" s="10" t="n">
        <v>496</v>
      </c>
      <c r="B510" s="10" t="n">
        <v>653891</v>
      </c>
      <c r="C510" s="11" t="inlineStr">
        <is>
          <t>7896658048203</t>
        </is>
      </c>
      <c r="D510" s="12" t="inlineStr">
        <is>
          <t>VENCIDO - FEMINIQUE 20 3+0,02MG CX 24 COMP</t>
        </is>
      </c>
      <c r="E510" s="12" t="inlineStr">
        <is>
          <t>ACHE</t>
        </is>
      </c>
      <c r="F510" s="10" t="n">
        <v>1</v>
      </c>
      <c r="G510" s="13" t="n"/>
      <c r="H510" s="14" t="n"/>
      <c r="I510" s="5" t="n"/>
      <c r="J510" s="15">
        <f>IF(G510="","",F510*G510)</f>
        <v/>
      </c>
    </row>
    <row r="511">
      <c r="A511" s="16" t="n">
        <v>497</v>
      </c>
      <c r="B511" s="16" t="n">
        <v>615331</v>
      </c>
      <c r="C511" s="17" t="inlineStr">
        <is>
          <t>4005808881512</t>
        </is>
      </c>
      <c r="D511" s="18" t="inlineStr">
        <is>
          <t>VENCIDO - GEL NIVEA ANTI-CELULIT BYEBYE CEL 201ML</t>
        </is>
      </c>
      <c r="E511" s="18" t="inlineStr">
        <is>
          <t>NIVEA</t>
        </is>
      </c>
      <c r="F511" s="16" t="n">
        <v>1</v>
      </c>
      <c r="G511" s="13" t="n"/>
      <c r="H511" s="14" t="n"/>
      <c r="I511" s="5" t="n"/>
      <c r="J511" s="19">
        <f>IF(G511="","",F511*G511)</f>
        <v/>
      </c>
    </row>
    <row r="512">
      <c r="A512" s="10" t="n">
        <v>498</v>
      </c>
      <c r="B512" s="10" t="n">
        <v>612521</v>
      </c>
      <c r="C512" s="11" t="inlineStr">
        <is>
          <t>7891317011390</t>
        </is>
      </c>
      <c r="D512" s="12" t="inlineStr">
        <is>
          <t>VENCIDO - NAIRE 20MG CX 15 COMP</t>
        </is>
      </c>
      <c r="E512" s="12" t="inlineStr">
        <is>
          <t>EUROFARMA</t>
        </is>
      </c>
      <c r="F512" s="10" t="n">
        <v>1</v>
      </c>
      <c r="G512" s="13" t="n"/>
      <c r="H512" s="14" t="n"/>
      <c r="I512" s="5" t="n"/>
      <c r="J512" s="15">
        <f>IF(G512="","",F512*G512)</f>
        <v/>
      </c>
    </row>
    <row r="513">
      <c r="A513" s="16" t="n">
        <v>499</v>
      </c>
      <c r="B513" s="16" t="n">
        <v>319361</v>
      </c>
      <c r="C513" s="17" t="inlineStr">
        <is>
          <t>7891045008440</t>
        </is>
      </c>
      <c r="D513" s="18" t="inlineStr">
        <is>
          <t>VENCIDO - NORDETTE 0,15+0,03MG CARTELA C/21</t>
        </is>
      </c>
      <c r="E513" s="18" t="inlineStr">
        <is>
          <t>PFIZER</t>
        </is>
      </c>
      <c r="F513" s="16" t="n">
        <v>1</v>
      </c>
      <c r="G513" s="13" t="n"/>
      <c r="H513" s="14" t="n"/>
      <c r="I513" s="5" t="n"/>
      <c r="J513" s="19">
        <f>IF(G513="","",F513*G513)</f>
        <v/>
      </c>
    </row>
    <row r="514">
      <c r="A514" s="10" t="n">
        <v>500</v>
      </c>
      <c r="B514" s="10" t="n">
        <v>344301</v>
      </c>
      <c r="C514" s="11" t="inlineStr">
        <is>
          <t>7896641808777</t>
        </is>
      </c>
      <c r="D514" s="12" t="inlineStr">
        <is>
          <t>VENCIDO - PV MESACOL 250 MG SUP RET CT BERCO X 15</t>
        </is>
      </c>
      <c r="E514" s="12" t="inlineStr">
        <is>
          <t>TAKEDA PHARMA</t>
        </is>
      </c>
      <c r="F514" s="10" t="n">
        <v>1</v>
      </c>
      <c r="G514" s="13" t="n"/>
      <c r="H514" s="14" t="n"/>
      <c r="I514" s="5" t="n"/>
      <c r="J514" s="15">
        <f>IF(G514="","",F514*G514)</f>
        <v/>
      </c>
    </row>
    <row r="515">
      <c r="A515" s="16" t="n">
        <v>501</v>
      </c>
      <c r="B515" s="16" t="n">
        <v>608981</v>
      </c>
      <c r="C515" s="17" t="inlineStr">
        <is>
          <t>7891317010386</t>
        </is>
      </c>
      <c r="D515" s="18" t="inlineStr">
        <is>
          <t>VENTUS 50MCG SUS SPR NAS FR 120 ACIONAMENTOS</t>
        </is>
      </c>
      <c r="E515" s="18" t="inlineStr">
        <is>
          <t>EUROFARMA</t>
        </is>
      </c>
      <c r="F515" s="16" t="n">
        <v>1</v>
      </c>
      <c r="G515" s="13" t="n"/>
      <c r="H515" s="14" t="n"/>
      <c r="I515" s="5" t="n"/>
      <c r="J515" s="19">
        <f>IF(G515="","",F515*G515)</f>
        <v/>
      </c>
    </row>
    <row r="516">
      <c r="A516" s="10" t="n">
        <v>502</v>
      </c>
      <c r="B516" s="10" t="n">
        <v>612541</v>
      </c>
      <c r="C516" s="11" t="inlineStr">
        <is>
          <t>7891317010379</t>
        </is>
      </c>
      <c r="D516" s="12" t="inlineStr">
        <is>
          <t>VENTUS 50MCG SUS SPR NAS FR 60 ACIONAMENTOS</t>
        </is>
      </c>
      <c r="E516" s="12" t="inlineStr">
        <is>
          <t>EUROFARMA</t>
        </is>
      </c>
      <c r="F516" s="10" t="n">
        <v>1</v>
      </c>
      <c r="G516" s="13" t="n"/>
      <c r="H516" s="14" t="n"/>
      <c r="I516" s="5" t="n"/>
      <c r="J516" s="15">
        <f>IF(G516="","",F516*G516)</f>
        <v/>
      </c>
    </row>
    <row r="517">
      <c r="A517" s="16" t="n">
        <v>503</v>
      </c>
      <c r="B517" s="16" t="n">
        <v>73361</v>
      </c>
      <c r="C517" s="17" t="inlineStr">
        <is>
          <t>7896094206502</t>
        </is>
      </c>
      <c r="D517" s="18" t="inlineStr">
        <is>
          <t>VENZER 16MG CX 30 COMP</t>
        </is>
      </c>
      <c r="E517" s="18" t="inlineStr">
        <is>
          <t>LIBBS</t>
        </is>
      </c>
      <c r="F517" s="16" t="n">
        <v>1</v>
      </c>
      <c r="G517" s="13" t="n"/>
      <c r="H517" s="14" t="n"/>
      <c r="I517" s="5" t="n"/>
      <c r="J517" s="19">
        <f>IF(G517="","",F517*G517)</f>
        <v/>
      </c>
    </row>
    <row r="518">
      <c r="A518" s="10" t="n">
        <v>504</v>
      </c>
      <c r="B518" s="10" t="n">
        <v>285781</v>
      </c>
      <c r="C518" s="11" t="inlineStr">
        <is>
          <t>7896094206410</t>
        </is>
      </c>
      <c r="D518" s="12" t="inlineStr">
        <is>
          <t>VENZER HCT 16+12,5MG CX 30 COMP</t>
        </is>
      </c>
      <c r="E518" s="12" t="inlineStr">
        <is>
          <t>LIBBS</t>
        </is>
      </c>
      <c r="F518" s="10" t="n">
        <v>1</v>
      </c>
      <c r="G518" s="13" t="n"/>
      <c r="H518" s="14" t="n"/>
      <c r="I518" s="5" t="n"/>
      <c r="J518" s="15">
        <f>IF(G518="","",F518*G518)</f>
        <v/>
      </c>
    </row>
    <row r="519">
      <c r="A519" s="16" t="n">
        <v>505</v>
      </c>
      <c r="B519" s="16" t="n">
        <v>285761</v>
      </c>
      <c r="C519" s="17" t="inlineStr">
        <is>
          <t>7896094206403</t>
        </is>
      </c>
      <c r="D519" s="18" t="inlineStr">
        <is>
          <t>VENZER HCT 8+12,5MG CX 30 COMP</t>
        </is>
      </c>
      <c r="E519" s="18" t="inlineStr">
        <is>
          <t>LIBBS</t>
        </is>
      </c>
      <c r="F519" s="16" t="n">
        <v>2</v>
      </c>
      <c r="G519" s="13" t="n"/>
      <c r="H519" s="14" t="n"/>
      <c r="I519" s="5" t="n"/>
      <c r="J519" s="19">
        <f>IF(G519="","",F519*G519)</f>
        <v/>
      </c>
    </row>
    <row r="520">
      <c r="A520" s="10" t="n">
        <v>506</v>
      </c>
      <c r="B520" s="10" t="n">
        <v>16701</v>
      </c>
      <c r="C520" s="11" t="inlineStr">
        <is>
          <t>7898109240273</t>
        </is>
      </c>
      <c r="D520" s="12" t="inlineStr">
        <is>
          <t>VI-FERRIN 20+0,333+1,0MCG ELIXIR FR 150ML</t>
        </is>
      </c>
      <c r="E520" s="12" t="inlineStr">
        <is>
          <t>ELOFAR</t>
        </is>
      </c>
      <c r="F520" s="10" t="n">
        <v>4</v>
      </c>
      <c r="G520" s="13" t="n"/>
      <c r="H520" s="14" t="n"/>
      <c r="I520" s="5" t="n"/>
      <c r="J520" s="15">
        <f>IF(G520="","",F520*G520)</f>
        <v/>
      </c>
    </row>
    <row r="521">
      <c r="A521" s="16" t="n">
        <v>507</v>
      </c>
      <c r="B521" s="16" t="n">
        <v>16721</v>
      </c>
      <c r="C521" s="17" t="inlineStr">
        <is>
          <t>7898109240532</t>
        </is>
      </c>
      <c r="D521" s="18" t="inlineStr">
        <is>
          <t>VI-FERRIN 300+5+15MCG FR 60 COMP REV</t>
        </is>
      </c>
      <c r="E521" s="18" t="inlineStr">
        <is>
          <t>ELOFAR</t>
        </is>
      </c>
      <c r="F521" s="16" t="n">
        <v>8</v>
      </c>
      <c r="G521" s="13" t="n"/>
      <c r="H521" s="14" t="n"/>
      <c r="I521" s="5" t="n"/>
      <c r="J521" s="19">
        <f>IF(G521="","",F521*G521)</f>
        <v/>
      </c>
    </row>
    <row r="522">
      <c r="A522" s="10" t="n">
        <v>508</v>
      </c>
      <c r="B522" s="10" t="n">
        <v>993</v>
      </c>
      <c r="C522" s="11" t="inlineStr">
        <is>
          <t>75075644</t>
        </is>
      </c>
      <c r="D522" s="12" t="inlineStr">
        <is>
          <t>VICK BABY RUB 12G LATA</t>
        </is>
      </c>
      <c r="E522" s="12" t="inlineStr">
        <is>
          <t>PROCTER   GAMBLE DO BRASIL</t>
        </is>
      </c>
      <c r="F522" s="10" t="n">
        <v>9</v>
      </c>
      <c r="G522" s="13" t="n"/>
      <c r="H522" s="14" t="n"/>
      <c r="I522" s="5" t="n"/>
      <c r="J522" s="15">
        <f>IF(G522="","",F522*G522)</f>
        <v/>
      </c>
    </row>
    <row r="523">
      <c r="A523" s="10" t="n">
        <v>509</v>
      </c>
      <c r="B523" s="10" t="n">
        <v>993</v>
      </c>
      <c r="C523" s="11" t="inlineStr">
        <is>
          <t>7500435199087</t>
        </is>
      </c>
      <c r="D523" s="12" t="inlineStr">
        <is>
          <t>VICK BABY RUB 12G LATA</t>
        </is>
      </c>
      <c r="E523" s="12" t="inlineStr">
        <is>
          <t>PROCTER   GAMBLE DO BRASIL</t>
        </is>
      </c>
      <c r="F523" s="10" t="n">
        <v>9</v>
      </c>
      <c r="G523" s="13" t="n"/>
      <c r="H523" s="14" t="n"/>
      <c r="I523" s="5" t="n"/>
      <c r="J523" s="15">
        <f>IF(G523="","",F523*G523)</f>
        <v/>
      </c>
    </row>
    <row r="524">
      <c r="A524" s="16" t="n">
        <v>510</v>
      </c>
      <c r="B524" s="16" t="n">
        <v>651281</v>
      </c>
      <c r="C524" s="17" t="inlineStr">
        <is>
          <t>7500435245340</t>
        </is>
      </c>
      <c r="D524" s="18" t="inlineStr">
        <is>
          <t>VICK DROPS MEL C/20 PAST-DEMAIS PROD</t>
        </is>
      </c>
      <c r="E524" s="18" t="inlineStr">
        <is>
          <t>P&amp;G</t>
        </is>
      </c>
      <c r="F524" s="16" t="n">
        <v>1</v>
      </c>
      <c r="G524" s="13" t="n"/>
      <c r="H524" s="14" t="n"/>
      <c r="I524" s="5" t="n"/>
      <c r="J524" s="19">
        <f>IF(G524="","",F524*G524)</f>
        <v/>
      </c>
    </row>
    <row r="525">
      <c r="A525" s="16" t="n">
        <v>511</v>
      </c>
      <c r="B525" s="16" t="n">
        <v>651281</v>
      </c>
      <c r="C525" s="17" t="inlineStr">
        <is>
          <t>7500435247757</t>
        </is>
      </c>
      <c r="D525" s="18" t="inlineStr">
        <is>
          <t>VICK DROPS MEL C/20 PAST-DEMAIS PROD</t>
        </is>
      </c>
      <c r="E525" s="18" t="inlineStr">
        <is>
          <t>P&amp;G</t>
        </is>
      </c>
      <c r="F525" s="16" t="n">
        <v>1</v>
      </c>
      <c r="G525" s="13" t="n"/>
      <c r="H525" s="14" t="n"/>
      <c r="I525" s="5" t="n"/>
      <c r="J525" s="19">
        <f>IF(G525="","",F525*G525)</f>
        <v/>
      </c>
    </row>
    <row r="526">
      <c r="A526" s="10" t="n">
        <v>512</v>
      </c>
      <c r="B526" s="10" t="n">
        <v>318341</v>
      </c>
      <c r="C526" s="11" t="inlineStr">
        <is>
          <t>78911239</t>
        </is>
      </c>
      <c r="D526" s="12" t="inlineStr">
        <is>
          <t>VICK INALADOR 0.5G DESC NASAL UNID</t>
        </is>
      </c>
      <c r="E526" s="12" t="inlineStr">
        <is>
          <t>P&amp;G</t>
        </is>
      </c>
      <c r="F526" s="10" t="n">
        <v>9</v>
      </c>
      <c r="G526" s="13" t="n"/>
      <c r="H526" s="14" t="n"/>
      <c r="I526" s="5" t="n"/>
      <c r="J526" s="15">
        <f>IF(G526="","",F526*G526)</f>
        <v/>
      </c>
    </row>
    <row r="527">
      <c r="A527" s="10" t="n">
        <v>513</v>
      </c>
      <c r="B527" s="10" t="n">
        <v>318341</v>
      </c>
      <c r="C527" s="11" t="inlineStr">
        <is>
          <t>7896093000217</t>
        </is>
      </c>
      <c r="D527" s="12" t="inlineStr">
        <is>
          <t>VICK INALADOR 0.5G DESC NASAL UNID</t>
        </is>
      </c>
      <c r="E527" s="12" t="inlineStr">
        <is>
          <t>P&amp;G</t>
        </is>
      </c>
      <c r="F527" s="10" t="n">
        <v>9</v>
      </c>
      <c r="G527" s="13" t="n"/>
      <c r="H527" s="14" t="n"/>
      <c r="I527" s="5" t="n"/>
      <c r="J527" s="15">
        <f>IF(G527="","",F527*G527)</f>
        <v/>
      </c>
    </row>
    <row r="528">
      <c r="A528" s="16" t="n">
        <v>514</v>
      </c>
      <c r="B528" s="16" t="n">
        <v>600581</v>
      </c>
      <c r="C528" s="17" t="inlineStr">
        <is>
          <t>7501001246730</t>
        </is>
      </c>
      <c r="D528" s="18" t="inlineStr">
        <is>
          <t>VICK LATINHA 12G</t>
        </is>
      </c>
      <c r="E528" s="18" t="inlineStr">
        <is>
          <t>PROCTER   GAMBLE</t>
        </is>
      </c>
      <c r="F528" s="16" t="n">
        <v>14</v>
      </c>
      <c r="G528" s="13" t="n"/>
      <c r="H528" s="14" t="n"/>
      <c r="I528" s="5" t="n"/>
      <c r="J528" s="19">
        <f>IF(G528="","",F528*G528)</f>
        <v/>
      </c>
    </row>
    <row r="529">
      <c r="A529" s="16" t="n">
        <v>515</v>
      </c>
      <c r="B529" s="16" t="n">
        <v>600581</v>
      </c>
      <c r="C529" s="17" t="inlineStr">
        <is>
          <t>7500435140157</t>
        </is>
      </c>
      <c r="D529" s="18" t="inlineStr">
        <is>
          <t>VICK LATINHA 12G</t>
        </is>
      </c>
      <c r="E529" s="18" t="inlineStr">
        <is>
          <t>PROCTER   GAMBLE</t>
        </is>
      </c>
      <c r="F529" s="16" t="n">
        <v>14</v>
      </c>
      <c r="G529" s="13" t="n"/>
      <c r="H529" s="14" t="n"/>
      <c r="I529" s="5" t="n"/>
      <c r="J529" s="19">
        <f>IF(G529="","",F529*G529)</f>
        <v/>
      </c>
    </row>
    <row r="530">
      <c r="A530" s="16" t="n">
        <v>516</v>
      </c>
      <c r="B530" s="16" t="n">
        <v>600581</v>
      </c>
      <c r="C530" s="17" t="inlineStr">
        <is>
          <t>78911222</t>
        </is>
      </c>
      <c r="D530" s="18" t="inlineStr">
        <is>
          <t>VICK LATINHA 12G</t>
        </is>
      </c>
      <c r="E530" s="18" t="inlineStr">
        <is>
          <t>PROCTER   GAMBLE</t>
        </is>
      </c>
      <c r="F530" s="16" t="n">
        <v>14</v>
      </c>
      <c r="G530" s="13" t="n"/>
      <c r="H530" s="14" t="n"/>
      <c r="I530" s="5" t="n"/>
      <c r="J530" s="19">
        <f>IF(G530="","",F530*G530)</f>
        <v/>
      </c>
    </row>
    <row r="531">
      <c r="A531" s="16" t="n">
        <v>517</v>
      </c>
      <c r="B531" s="16" t="n">
        <v>600581</v>
      </c>
      <c r="C531" s="17" t="inlineStr">
        <is>
          <t>7896093001030</t>
        </is>
      </c>
      <c r="D531" s="18" t="inlineStr">
        <is>
          <t>VICK LATINHA 12G</t>
        </is>
      </c>
      <c r="E531" s="18" t="inlineStr">
        <is>
          <t>PROCTER   GAMBLE</t>
        </is>
      </c>
      <c r="F531" s="16" t="n">
        <v>14</v>
      </c>
      <c r="G531" s="13" t="n"/>
      <c r="H531" s="14" t="n"/>
      <c r="I531" s="5" t="n"/>
      <c r="J531" s="19">
        <f>IF(G531="","",F531*G531)</f>
        <v/>
      </c>
    </row>
    <row r="532">
      <c r="A532" s="10" t="n">
        <v>518</v>
      </c>
      <c r="B532" s="10" t="n">
        <v>395921</v>
      </c>
      <c r="C532" s="11" t="inlineStr">
        <is>
          <t>78911246</t>
        </is>
      </c>
      <c r="D532" s="12" t="inlineStr">
        <is>
          <t>VICK PYRENA 500MG CHA MEL E LIMAO 5G - CAIXA</t>
        </is>
      </c>
      <c r="E532" s="12" t="inlineStr">
        <is>
          <t>P&amp;G</t>
        </is>
      </c>
      <c r="F532" s="10" t="n">
        <v>5</v>
      </c>
      <c r="G532" s="13" t="n"/>
      <c r="H532" s="14" t="n"/>
      <c r="I532" s="5" t="n"/>
      <c r="J532" s="15">
        <f>IF(G532="","",F532*G532)</f>
        <v/>
      </c>
    </row>
    <row r="533">
      <c r="A533" s="16" t="n">
        <v>519</v>
      </c>
      <c r="B533" s="16" t="n">
        <v>542821</v>
      </c>
      <c r="C533" s="17" t="inlineStr">
        <is>
          <t>789112444</t>
        </is>
      </c>
      <c r="D533" s="18" t="inlineStr">
        <is>
          <t>VICK VAPORUB 30G POTE</t>
        </is>
      </c>
      <c r="E533" s="18" t="inlineStr">
        <is>
          <t>P&amp;G</t>
        </is>
      </c>
      <c r="F533" s="16" t="n">
        <v>11</v>
      </c>
      <c r="G533" s="13" t="n"/>
      <c r="H533" s="14" t="n"/>
      <c r="I533" s="5" t="n"/>
      <c r="J533" s="19">
        <f>IF(G533="","",F533*G533)</f>
        <v/>
      </c>
    </row>
    <row r="534">
      <c r="A534" s="16" t="n">
        <v>520</v>
      </c>
      <c r="B534" s="16" t="n">
        <v>542821</v>
      </c>
      <c r="C534" s="17" t="inlineStr">
        <is>
          <t>7590002032817</t>
        </is>
      </c>
      <c r="D534" s="18" t="inlineStr">
        <is>
          <t>VICK VAPORUB 30G POTE</t>
        </is>
      </c>
      <c r="E534" s="18" t="inlineStr">
        <is>
          <t>P&amp;G</t>
        </is>
      </c>
      <c r="F534" s="16" t="n">
        <v>11</v>
      </c>
      <c r="G534" s="13" t="n"/>
      <c r="H534" s="14" t="n"/>
      <c r="I534" s="5" t="n"/>
      <c r="J534" s="19">
        <f>IF(G534="","",F534*G534)</f>
        <v/>
      </c>
    </row>
    <row r="535">
      <c r="A535" s="10" t="n">
        <v>521</v>
      </c>
      <c r="B535" s="10" t="n">
        <v>610801</v>
      </c>
      <c r="C535" s="11" t="inlineStr">
        <is>
          <t>7500435209786</t>
        </is>
      </c>
      <c r="D535" s="12" t="inlineStr">
        <is>
          <t>VICK XAROPE XAROPE MIEL 100ML</t>
        </is>
      </c>
      <c r="E535" s="12" t="inlineStr">
        <is>
          <t>P&amp;G</t>
        </is>
      </c>
      <c r="F535" s="10" t="n">
        <v>5</v>
      </c>
      <c r="G535" s="13" t="n"/>
      <c r="H535" s="14" t="n"/>
      <c r="I535" s="5" t="n"/>
      <c r="J535" s="15">
        <f>IF(G535="","",F535*G535)</f>
        <v/>
      </c>
    </row>
    <row r="536">
      <c r="A536" s="16" t="n">
        <v>522</v>
      </c>
      <c r="B536" s="16" t="n">
        <v>160821</v>
      </c>
      <c r="C536" s="17" t="inlineStr">
        <is>
          <t>7896548139585</t>
        </is>
      </c>
      <c r="D536" s="18" t="inlineStr">
        <is>
          <t>VIGAMOX 5MG SUS OFT FR GTS 5ML</t>
        </is>
      </c>
      <c r="E536" s="18" t="inlineStr">
        <is>
          <t>NOVARTIS</t>
        </is>
      </c>
      <c r="F536" s="16" t="n">
        <v>1</v>
      </c>
      <c r="G536" s="13" t="n"/>
      <c r="H536" s="14" t="n"/>
      <c r="I536" s="5" t="n"/>
      <c r="J536" s="19">
        <f>IF(G536="","",F536*G536)</f>
        <v/>
      </c>
    </row>
    <row r="537">
      <c r="A537" s="10" t="n">
        <v>523</v>
      </c>
      <c r="B537" s="10" t="n">
        <v>671271</v>
      </c>
      <c r="C537" s="11" t="inlineStr">
        <is>
          <t>7896004773759</t>
        </is>
      </c>
      <c r="D537" s="12" t="inlineStr">
        <is>
          <t>VIOFTA 0,15% SOL OFT 10ML-DEMAIS PROD</t>
        </is>
      </c>
      <c r="E537" s="12" t="inlineStr">
        <is>
          <t>LEGRAND</t>
        </is>
      </c>
      <c r="F537" s="10" t="n">
        <v>5</v>
      </c>
      <c r="G537" s="13" t="n"/>
      <c r="H537" s="14" t="n"/>
      <c r="I537" s="5" t="n"/>
      <c r="J537" s="15">
        <f>IF(G537="","",F537*G537)</f>
        <v/>
      </c>
    </row>
    <row r="538">
      <c r="A538" s="16" t="n">
        <v>524</v>
      </c>
      <c r="B538" s="16" t="n">
        <v>671911</v>
      </c>
      <c r="C538" s="17" t="inlineStr">
        <is>
          <t>7896004780818</t>
        </is>
      </c>
      <c r="D538" s="18" t="inlineStr">
        <is>
          <t>VIOFTA 0,40% SOL OFT 10ML-DEMAIS PROD</t>
        </is>
      </c>
      <c r="E538" s="18" t="inlineStr">
        <is>
          <t>LEGRAND</t>
        </is>
      </c>
      <c r="F538" s="16" t="n">
        <v>2</v>
      </c>
      <c r="G538" s="13" t="n"/>
      <c r="H538" s="14" t="n"/>
      <c r="I538" s="5" t="n"/>
      <c r="J538" s="19">
        <f>IF(G538="","",F538*G538)</f>
        <v/>
      </c>
    </row>
    <row r="539">
      <c r="A539" s="10" t="n">
        <v>525</v>
      </c>
      <c r="B539" s="10" t="n">
        <v>468501</v>
      </c>
      <c r="C539" s="11" t="inlineStr">
        <is>
          <t>7897129300516</t>
        </is>
      </c>
      <c r="D539" s="12" t="inlineStr">
        <is>
          <t>VITACID 0,25MG/G GEL BG 25G</t>
        </is>
      </c>
      <c r="E539" s="12" t="inlineStr">
        <is>
          <t>THERASKIN</t>
        </is>
      </c>
      <c r="F539" s="10" t="n">
        <v>6</v>
      </c>
      <c r="G539" s="13" t="n"/>
      <c r="H539" s="14" t="n"/>
      <c r="I539" s="5" t="n"/>
      <c r="J539" s="15">
        <f>IF(G539="","",F539*G539)</f>
        <v/>
      </c>
    </row>
    <row r="540">
      <c r="A540" s="16" t="n">
        <v>526</v>
      </c>
      <c r="B540" s="16" t="n">
        <v>468521</v>
      </c>
      <c r="C540" s="17" t="inlineStr">
        <is>
          <t>7897129300509</t>
        </is>
      </c>
      <c r="D540" s="18" t="inlineStr">
        <is>
          <t>VITACID 0,5MG/G CREME DERM BG 25G</t>
        </is>
      </c>
      <c r="E540" s="18" t="inlineStr">
        <is>
          <t>THERASKIN</t>
        </is>
      </c>
      <c r="F540" s="16" t="n">
        <v>2</v>
      </c>
      <c r="G540" s="13" t="n"/>
      <c r="H540" s="14" t="n"/>
      <c r="I540" s="5" t="n"/>
      <c r="J540" s="19">
        <f>IF(G540="","",F540*G540)</f>
        <v/>
      </c>
    </row>
    <row r="541">
      <c r="A541" s="10" t="n">
        <v>527</v>
      </c>
      <c r="B541" s="10" t="n">
        <v>468541</v>
      </c>
      <c r="C541" s="11" t="inlineStr">
        <is>
          <t>7897129303579</t>
        </is>
      </c>
      <c r="D541" s="12" t="inlineStr">
        <is>
          <t>VITACID XT 1,00MG/G CREME DERM BG 25G</t>
        </is>
      </c>
      <c r="E541" s="12" t="inlineStr">
        <is>
          <t>THERASKIN</t>
        </is>
      </c>
      <c r="F541" s="10" t="n">
        <v>1</v>
      </c>
      <c r="G541" s="13" t="n"/>
      <c r="H541" s="14" t="n"/>
      <c r="I541" s="5" t="n"/>
      <c r="J541" s="15">
        <f>IF(G541="","",F541*G541)</f>
        <v/>
      </c>
    </row>
    <row r="542">
      <c r="A542" s="16" t="n">
        <v>528</v>
      </c>
      <c r="B542" s="16" t="n">
        <v>211861</v>
      </c>
      <c r="C542" s="17" t="inlineStr">
        <is>
          <t>7896261000797</t>
        </is>
      </c>
      <c r="D542" s="18" t="inlineStr">
        <is>
          <t>VOLTAREN 25MG INJ CX 5AMP X 3ML</t>
        </is>
      </c>
      <c r="E542" s="18" t="inlineStr">
        <is>
          <t>NOVARTIS</t>
        </is>
      </c>
      <c r="F542" s="16" t="n">
        <v>1</v>
      </c>
      <c r="G542" s="13" t="n"/>
      <c r="H542" s="14" t="n"/>
      <c r="I542" s="5" t="n"/>
      <c r="J542" s="19">
        <f>IF(G542="","",F542*G542)</f>
        <v/>
      </c>
    </row>
    <row r="543">
      <c r="A543" s="10" t="n">
        <v>529</v>
      </c>
      <c r="B543" s="10" t="n">
        <v>65101</v>
      </c>
      <c r="C543" s="11" t="inlineStr">
        <is>
          <t>7590002023228</t>
        </is>
      </c>
      <c r="D543" s="12" t="inlineStr">
        <is>
          <t>XAROPE 44 E 1,30+13,30MG/ML XPE FR 120ML</t>
        </is>
      </c>
      <c r="E543" s="12" t="inlineStr">
        <is>
          <t>P&amp;G</t>
        </is>
      </c>
      <c r="F543" s="10" t="n">
        <v>23</v>
      </c>
      <c r="G543" s="13" t="n"/>
      <c r="H543" s="14" t="n"/>
      <c r="I543" s="5" t="n"/>
      <c r="J543" s="15">
        <f>IF(G543="","",F543*G543)</f>
        <v/>
      </c>
    </row>
    <row r="544">
      <c r="A544" s="16" t="n">
        <v>530</v>
      </c>
      <c r="B544" s="16" t="n">
        <v>65081</v>
      </c>
      <c r="C544" s="17" t="inlineStr">
        <is>
          <t>7500435144384</t>
        </is>
      </c>
      <c r="D544" s="18" t="inlineStr">
        <is>
          <t>XAROPE 44 E 1,30+13,30MG/ML XPE FR 240ML</t>
        </is>
      </c>
      <c r="E544" s="18" t="inlineStr">
        <is>
          <t>P&amp;G</t>
        </is>
      </c>
      <c r="F544" s="16" t="n">
        <v>2</v>
      </c>
      <c r="G544" s="13" t="n"/>
      <c r="H544" s="14" t="n"/>
      <c r="I544" s="5" t="n"/>
      <c r="J544" s="19">
        <f>IF(G544="","",F544*G544)</f>
        <v/>
      </c>
    </row>
    <row r="545">
      <c r="A545" s="10" t="n">
        <v>531</v>
      </c>
      <c r="B545" s="10" t="n">
        <v>273361</v>
      </c>
      <c r="C545" s="11" t="inlineStr">
        <is>
          <t>7500435153072</t>
        </is>
      </c>
      <c r="D545" s="12" t="inlineStr">
        <is>
          <t>XAROPE VICK 13,3MG/ML XPE FR 120ML</t>
        </is>
      </c>
      <c r="E545" s="12" t="inlineStr">
        <is>
          <t>P&amp;G</t>
        </is>
      </c>
      <c r="F545" s="10" t="n">
        <v>10</v>
      </c>
      <c r="G545" s="13" t="n"/>
      <c r="H545" s="14" t="n"/>
      <c r="I545" s="5" t="n"/>
      <c r="J545" s="15">
        <f>IF(G545="","",F545*G545)</f>
        <v/>
      </c>
    </row>
    <row r="546">
      <c r="A546" s="16" t="n">
        <v>532</v>
      </c>
      <c r="B546" s="16" t="n">
        <v>326621</v>
      </c>
      <c r="C546" s="17" t="inlineStr">
        <is>
          <t>7891317425869</t>
        </is>
      </c>
      <c r="D546" s="18" t="inlineStr">
        <is>
          <t>ZART 50MG CX 30 COMP REV</t>
        </is>
      </c>
      <c r="E546" s="18" t="inlineStr">
        <is>
          <t>EUROFARMA</t>
        </is>
      </c>
      <c r="F546" s="16" t="n">
        <v>25</v>
      </c>
      <c r="G546" s="13" t="n"/>
      <c r="H546" s="14" t="n"/>
      <c r="I546" s="5" t="n"/>
      <c r="J546" s="19">
        <f>IF(G546="","",F546*G546)</f>
        <v/>
      </c>
    </row>
    <row r="547">
      <c r="A547" s="10" t="n">
        <v>533</v>
      </c>
      <c r="B547" s="10" t="n">
        <v>184</v>
      </c>
      <c r="C547" s="11" t="inlineStr">
        <is>
          <t>7896658047022</t>
        </is>
      </c>
      <c r="D547" s="12" t="inlineStr">
        <is>
          <t>ZASTAT 20MG COM BLX10</t>
        </is>
      </c>
      <c r="E547" s="12" t="inlineStr">
        <is>
          <t>ACHE</t>
        </is>
      </c>
      <c r="F547" s="10" t="n">
        <v>1</v>
      </c>
      <c r="G547" s="13" t="n"/>
      <c r="H547" s="14" t="n"/>
      <c r="I547" s="5" t="n"/>
      <c r="J547" s="15">
        <f>IF(G547="","",F547*G547)</f>
        <v/>
      </c>
    </row>
    <row r="548">
      <c r="A548" s="16" t="n">
        <v>534</v>
      </c>
      <c r="B548" s="16" t="n">
        <v>670521</v>
      </c>
      <c r="C548" s="17" t="inlineStr">
        <is>
          <t>7896658047008</t>
        </is>
      </c>
      <c r="D548" s="18" t="inlineStr">
        <is>
          <t>ZASTAT 5MG C/20 COMP-SIMILAR</t>
        </is>
      </c>
      <c r="E548" s="18" t="inlineStr">
        <is>
          <t>BIOSINTETICA</t>
        </is>
      </c>
      <c r="F548" s="16" t="n">
        <v>1</v>
      </c>
      <c r="G548" s="13" t="n"/>
      <c r="H548" s="14" t="n"/>
      <c r="I548" s="5" t="n"/>
      <c r="J548" s="19">
        <f>IF(G548="","",F548*G548)</f>
        <v/>
      </c>
    </row>
    <row r="549">
      <c r="A549" s="10" t="n">
        <v>535</v>
      </c>
      <c r="B549" s="10" t="n">
        <v>214141</v>
      </c>
      <c r="C549" s="11" t="inlineStr">
        <is>
          <t>7891317457211</t>
        </is>
      </c>
      <c r="D549" s="12" t="inlineStr">
        <is>
          <t>ZINA 5MG CX 10 COMP</t>
        </is>
      </c>
      <c r="E549" s="12" t="inlineStr">
        <is>
          <t>EUROFARMA</t>
        </is>
      </c>
      <c r="F549" s="10" t="n">
        <v>1</v>
      </c>
      <c r="G549" s="13" t="n"/>
      <c r="H549" s="14" t="n"/>
      <c r="I549" s="5" t="n"/>
      <c r="J549" s="15">
        <f>IF(G549="","",F549*G549)</f>
        <v/>
      </c>
    </row>
    <row r="550">
      <c r="A550" s="16" t="n">
        <v>536</v>
      </c>
      <c r="B550" s="16" t="n">
        <v>591271</v>
      </c>
      <c r="C550" s="17" t="inlineStr">
        <is>
          <t>7899824400201</t>
        </is>
      </c>
      <c r="D550" s="18" t="inlineStr">
        <is>
          <t>ZIRVIT BABY SUS OR FR 30ML</t>
        </is>
      </c>
      <c r="E550" s="18" t="inlineStr">
        <is>
          <t>ARESE PHARMA</t>
        </is>
      </c>
      <c r="F550" s="16" t="n">
        <v>1</v>
      </c>
      <c r="G550" s="13" t="n"/>
      <c r="H550" s="14" t="n"/>
      <c r="I550" s="5" t="n"/>
      <c r="J550" s="19">
        <f>IF(G550="","",F550*G550)</f>
        <v/>
      </c>
    </row>
    <row r="551">
      <c r="A551" s="10" t="n">
        <v>537</v>
      </c>
      <c r="B551" s="10" t="n">
        <v>556361</v>
      </c>
      <c r="C551" s="11" t="inlineStr">
        <is>
          <t>7899824401055</t>
        </is>
      </c>
      <c r="D551" s="12" t="inlineStr">
        <is>
          <t>ZIRVIT KIDS SUSP OR FR 100 ML</t>
        </is>
      </c>
      <c r="E551" s="12" t="inlineStr">
        <is>
          <t>ARESE PHARMA</t>
        </is>
      </c>
      <c r="F551" s="10" t="n">
        <v>6</v>
      </c>
      <c r="G551" s="13" t="n"/>
      <c r="H551" s="14" t="n"/>
      <c r="I551" s="5" t="n"/>
      <c r="J551" s="15">
        <f>IF(G551="","",F551*G551)</f>
        <v/>
      </c>
    </row>
    <row r="552">
      <c r="A552" s="16" t="n">
        <v>538</v>
      </c>
      <c r="B552" s="16" t="n">
        <v>261481</v>
      </c>
      <c r="C552" s="17" t="inlineStr">
        <is>
          <t>7897316805442</t>
        </is>
      </c>
      <c r="D552" s="18" t="inlineStr">
        <is>
          <t>ZYPRED 3+10MG/ML SUS OFT FR GOT 6ML</t>
        </is>
      </c>
      <c r="E552" s="18" t="inlineStr">
        <is>
          <t>ALLERGAN</t>
        </is>
      </c>
      <c r="F552" s="16" t="n">
        <v>1</v>
      </c>
      <c r="G552" s="13" t="n"/>
      <c r="H552" s="14" t="n"/>
      <c r="I552" s="5" t="n"/>
      <c r="J552" s="19">
        <f>IF(G552="","",F552*G552)</f>
        <v/>
      </c>
    </row>
    <row r="554">
      <c r="I554" s="3" t="inlineStr">
        <is>
          <t>Itens cotados:</t>
        </is>
      </c>
      <c r="J554" s="20">
        <f>COUNT(G15:G552)</f>
        <v/>
      </c>
    </row>
    <row r="555">
      <c r="I555" s="3" t="inlineStr">
        <is>
          <t>Total cotado (R$):</t>
        </is>
      </c>
      <c r="J555" s="21">
        <f>SUM(J15:J552)</f>
        <v/>
      </c>
    </row>
  </sheetData>
  <autoFilter ref="A14:J552"/>
  <mergeCells count="8">
    <mergeCell ref="B5:D5"/>
    <mergeCell ref="G6:I6"/>
    <mergeCell ref="G5:I5"/>
    <mergeCell ref="B4:D4"/>
    <mergeCell ref="G4:I4"/>
    <mergeCell ref="B7:D7"/>
    <mergeCell ref="G7:I7"/>
    <mergeCell ref="B6:D6"/>
  </mergeCells>
  <conditionalFormatting sqref="H15:H552">
    <cfRule type="expression" priority="1" dxfId="0">
      <formula>AND(H15&lt;&gt;"",H15&lt;F15)</formula>
    </cfRule>
  </conditionalFormatting>
  <dataValidations count="2">
    <dataValidation sqref="G15:G552" showDropDown="0" showInputMessage="0" showErrorMessage="0" allowBlank="0" errorTitle="Valor inválido" error="Informe apenas o preço em número (ex.: 12,34)." type="decimal" operator="greaterThanOrEqual">
      <formula1>0</formula1>
    </dataValidation>
    <dataValidation sqref="H15:H552" showDropDown="0" showInputMessage="0" showErrorMessage="0" allowBlank="0" errorTitle="Valor inválido" error="Informe a quantidade em número inteiro de embalagens." type="whole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2026-10-05T13:54:40Z</dcterms:created>
  <dcterms:modified xsi:type="dcterms:W3CDTF">2026-10-05T13:54:40Z</dcterms:modified>
</cp:coreProperties>
</file>