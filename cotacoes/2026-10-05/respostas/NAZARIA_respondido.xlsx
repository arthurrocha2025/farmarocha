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sistvendas1.nc\Downloads\"/>
    </mc:Choice>
  </mc:AlternateContent>
  <xr:revisionPtr revIDLastSave="0" documentId="13_ncr:1_{F1B2D4DB-C92C-4087-8C4A-426C57FAA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tação" sheetId="1" r:id="rId1"/>
  </sheets>
  <definedNames>
    <definedName name="_xlnm._FilterDatabase" localSheetId="0" hidden="1">Cotação!$A$14:$J$552</definedName>
    <definedName name="_xlnm.Print_Titles" localSheetId="0">Cotação!$14:$14</definedName>
  </definedNames>
  <calcPr calcId="181029"/>
</workbook>
</file>

<file path=xl/calcChain.xml><?xml version="1.0" encoding="utf-8"?>
<calcChain xmlns="http://schemas.openxmlformats.org/spreadsheetml/2006/main">
  <c r="O20" i="1" l="1"/>
  <c r="O21" i="1"/>
  <c r="O22" i="1"/>
  <c r="O23" i="1"/>
  <c r="O24" i="1"/>
  <c r="O25" i="1"/>
  <c r="O26" i="1"/>
  <c r="O27" i="1"/>
  <c r="O28" i="1"/>
  <c r="O29" i="1"/>
  <c r="O30" i="1"/>
  <c r="O31" i="1"/>
  <c r="O33" i="1"/>
  <c r="O35" i="1"/>
  <c r="O36" i="1"/>
  <c r="O37" i="1"/>
  <c r="O38" i="1"/>
  <c r="O39" i="1"/>
  <c r="O40" i="1"/>
  <c r="O43" i="1"/>
  <c r="O47" i="1"/>
  <c r="O48" i="1"/>
  <c r="O49" i="1"/>
  <c r="O51" i="1"/>
  <c r="O52" i="1"/>
  <c r="O54" i="1"/>
  <c r="O55" i="1"/>
  <c r="O56" i="1"/>
  <c r="O57" i="1"/>
  <c r="O59" i="1"/>
  <c r="O60" i="1"/>
  <c r="O61" i="1"/>
  <c r="O62" i="1"/>
  <c r="O63" i="1"/>
  <c r="O65" i="1"/>
  <c r="O66" i="1"/>
  <c r="O67" i="1"/>
  <c r="O70" i="1"/>
  <c r="O71" i="1"/>
  <c r="O72" i="1"/>
  <c r="O74" i="1"/>
  <c r="O76" i="1"/>
  <c r="O79" i="1"/>
  <c r="O86" i="1"/>
  <c r="O87" i="1"/>
  <c r="O88" i="1"/>
  <c r="O89" i="1"/>
  <c r="O90" i="1"/>
  <c r="O91" i="1"/>
  <c r="O92" i="1"/>
  <c r="O93" i="1"/>
  <c r="O94" i="1"/>
  <c r="O95" i="1"/>
  <c r="O101" i="1"/>
  <c r="O102" i="1"/>
  <c r="O103" i="1"/>
  <c r="O104" i="1"/>
  <c r="O105" i="1"/>
  <c r="O106" i="1"/>
  <c r="O111" i="1"/>
  <c r="O118" i="1"/>
  <c r="O119" i="1"/>
  <c r="O120" i="1"/>
  <c r="O127" i="1"/>
  <c r="O129" i="1"/>
  <c r="O130" i="1"/>
  <c r="O131" i="1"/>
  <c r="O132" i="1"/>
  <c r="O133" i="1"/>
  <c r="O134" i="1"/>
  <c r="O135" i="1"/>
  <c r="O136" i="1"/>
  <c r="O138" i="1"/>
  <c r="O139" i="1"/>
  <c r="O142" i="1"/>
  <c r="O143" i="1"/>
  <c r="O144" i="1"/>
  <c r="O145" i="1"/>
  <c r="O150" i="1"/>
  <c r="O151" i="1"/>
  <c r="O152" i="1"/>
  <c r="O153" i="1"/>
  <c r="O159" i="1"/>
  <c r="O160" i="1"/>
  <c r="O161" i="1"/>
  <c r="O162" i="1"/>
  <c r="O163" i="1"/>
  <c r="O164" i="1"/>
  <c r="O166" i="1"/>
  <c r="O167" i="1"/>
  <c r="O168" i="1"/>
  <c r="O169" i="1"/>
  <c r="O172" i="1"/>
  <c r="O173" i="1"/>
  <c r="O175" i="1"/>
  <c r="O176" i="1"/>
  <c r="O178" i="1"/>
  <c r="O179" i="1"/>
  <c r="O180" i="1"/>
  <c r="O182" i="1"/>
  <c r="O183" i="1"/>
  <c r="O184" i="1"/>
  <c r="O187" i="1"/>
  <c r="O188" i="1"/>
  <c r="O190" i="1"/>
  <c r="O191" i="1"/>
  <c r="O193" i="1"/>
  <c r="O194" i="1"/>
  <c r="O197" i="1"/>
  <c r="O198" i="1"/>
  <c r="O199" i="1"/>
  <c r="O200" i="1"/>
  <c r="O202" i="1"/>
  <c r="O203" i="1"/>
  <c r="O204" i="1"/>
  <c r="O205" i="1"/>
  <c r="O206" i="1"/>
  <c r="O207" i="1"/>
  <c r="O208" i="1"/>
  <c r="O210" i="1"/>
  <c r="O211" i="1"/>
  <c r="O212" i="1"/>
  <c r="O213" i="1"/>
  <c r="O214" i="1"/>
  <c r="O215" i="1"/>
  <c r="O216" i="1"/>
  <c r="O218" i="1"/>
  <c r="O220" i="1"/>
  <c r="O223" i="1"/>
  <c r="O224" i="1"/>
  <c r="O225" i="1"/>
  <c r="O228" i="1"/>
  <c r="O230" i="1"/>
  <c r="O231" i="1"/>
  <c r="O232" i="1"/>
  <c r="O233" i="1"/>
  <c r="O234" i="1"/>
  <c r="O238" i="1"/>
  <c r="O239" i="1"/>
  <c r="O240" i="1"/>
  <c r="O241" i="1"/>
  <c r="O243" i="1"/>
  <c r="O244" i="1"/>
  <c r="O245" i="1"/>
  <c r="O246" i="1"/>
  <c r="O247" i="1"/>
  <c r="O248" i="1"/>
  <c r="O251" i="1"/>
  <c r="O255" i="1"/>
  <c r="O256" i="1"/>
  <c r="O260" i="1"/>
  <c r="O261" i="1"/>
  <c r="O262" i="1"/>
  <c r="O263" i="1"/>
  <c r="O264" i="1"/>
  <c r="O265" i="1"/>
  <c r="O266" i="1"/>
  <c r="O271" i="1"/>
  <c r="O273" i="1"/>
  <c r="O274" i="1"/>
  <c r="O275" i="1"/>
  <c r="O276" i="1"/>
  <c r="O277" i="1"/>
  <c r="O278" i="1"/>
  <c r="O279" i="1"/>
  <c r="O280" i="1"/>
  <c r="O282" i="1"/>
  <c r="O283" i="1"/>
  <c r="O284" i="1"/>
  <c r="O285" i="1"/>
  <c r="O286" i="1"/>
  <c r="O287" i="1"/>
  <c r="O289" i="1"/>
  <c r="O291" i="1"/>
  <c r="O292" i="1"/>
  <c r="O293" i="1"/>
  <c r="O294" i="1"/>
  <c r="O295" i="1"/>
  <c r="O296" i="1"/>
  <c r="O299" i="1"/>
  <c r="O300" i="1"/>
  <c r="O301" i="1"/>
  <c r="O302" i="1"/>
  <c r="O303" i="1"/>
  <c r="O304" i="1"/>
  <c r="O307" i="1"/>
  <c r="O308" i="1"/>
  <c r="O309" i="1"/>
  <c r="O310" i="1"/>
  <c r="O311" i="1"/>
  <c r="O312" i="1"/>
  <c r="O313" i="1"/>
  <c r="O315" i="1"/>
  <c r="O316" i="1"/>
  <c r="O317" i="1"/>
  <c r="O318" i="1"/>
  <c r="O319" i="1"/>
  <c r="O322" i="1"/>
  <c r="O325" i="1"/>
  <c r="O326" i="1"/>
  <c r="O327" i="1"/>
  <c r="O328" i="1"/>
  <c r="O330" i="1"/>
  <c r="O334" i="1"/>
  <c r="O335" i="1"/>
  <c r="O336" i="1"/>
  <c r="O337" i="1"/>
  <c r="O341" i="1"/>
  <c r="O342" i="1"/>
  <c r="O343" i="1"/>
  <c r="O344" i="1"/>
  <c r="O351" i="1"/>
  <c r="O354" i="1"/>
  <c r="O358" i="1"/>
  <c r="O359" i="1"/>
  <c r="O360" i="1"/>
  <c r="O361" i="1"/>
  <c r="O362" i="1"/>
  <c r="O364" i="1"/>
  <c r="O365" i="1"/>
  <c r="O367" i="1"/>
  <c r="O372" i="1"/>
  <c r="O374" i="1"/>
  <c r="O375" i="1"/>
  <c r="O376" i="1"/>
  <c r="O378" i="1"/>
  <c r="O383" i="1"/>
  <c r="O388" i="1"/>
  <c r="O389" i="1"/>
  <c r="O390" i="1"/>
  <c r="O391" i="1"/>
  <c r="O392" i="1"/>
  <c r="O397" i="1"/>
  <c r="O398" i="1"/>
  <c r="O399" i="1"/>
  <c r="O400" i="1"/>
  <c r="O401" i="1"/>
  <c r="O402" i="1"/>
  <c r="O403" i="1"/>
  <c r="O405" i="1"/>
  <c r="O406" i="1"/>
  <c r="O407" i="1"/>
  <c r="O408" i="1"/>
  <c r="O409" i="1"/>
  <c r="O415" i="1"/>
  <c r="O417" i="1"/>
  <c r="O418" i="1"/>
  <c r="O420" i="1"/>
  <c r="O422" i="1"/>
  <c r="O423" i="1"/>
  <c r="O424" i="1"/>
  <c r="O425" i="1"/>
  <c r="O426" i="1"/>
  <c r="O431" i="1"/>
  <c r="O434" i="1"/>
  <c r="O436" i="1"/>
  <c r="O438" i="1"/>
  <c r="O439" i="1"/>
  <c r="O440" i="1"/>
  <c r="O447" i="1"/>
  <c r="O452" i="1"/>
  <c r="O453" i="1"/>
  <c r="O454" i="1"/>
  <c r="O455" i="1"/>
  <c r="O456" i="1"/>
  <c r="O459" i="1"/>
  <c r="O460" i="1"/>
  <c r="O461" i="1"/>
  <c r="O462" i="1"/>
  <c r="O463" i="1"/>
  <c r="O464" i="1"/>
  <c r="O469" i="1"/>
  <c r="O470" i="1"/>
  <c r="O471" i="1"/>
  <c r="O472" i="1"/>
  <c r="O473" i="1"/>
  <c r="O474" i="1"/>
  <c r="O475" i="1"/>
  <c r="O476" i="1"/>
  <c r="O479" i="1"/>
  <c r="O480" i="1"/>
  <c r="O481" i="1"/>
  <c r="O482" i="1"/>
  <c r="O483" i="1"/>
  <c r="O484" i="1"/>
  <c r="O486" i="1"/>
  <c r="O487" i="1"/>
  <c r="O488" i="1"/>
  <c r="O490" i="1"/>
  <c r="O492" i="1"/>
  <c r="O493" i="1"/>
  <c r="O494" i="1"/>
  <c r="O495" i="1"/>
  <c r="O496" i="1"/>
  <c r="O497" i="1"/>
  <c r="O498" i="1"/>
  <c r="O499" i="1"/>
  <c r="O500" i="1"/>
  <c r="O502" i="1"/>
  <c r="O503" i="1"/>
  <c r="O504" i="1"/>
  <c r="O506" i="1"/>
  <c r="O508" i="1"/>
  <c r="O509" i="1"/>
  <c r="O510" i="1"/>
  <c r="O511" i="1"/>
  <c r="O515" i="1"/>
  <c r="O516" i="1"/>
  <c r="O517" i="1"/>
  <c r="O518" i="1"/>
  <c r="O519" i="1"/>
  <c r="O520" i="1"/>
  <c r="O521" i="1"/>
  <c r="O523" i="1"/>
  <c r="O524" i="1"/>
  <c r="O527" i="1"/>
  <c r="O531" i="1"/>
  <c r="O534" i="1"/>
  <c r="O535" i="1"/>
  <c r="O536" i="1"/>
  <c r="O539" i="1"/>
  <c r="O540" i="1"/>
  <c r="O541" i="1"/>
  <c r="O542" i="1"/>
  <c r="O543" i="1"/>
  <c r="O544" i="1"/>
  <c r="O545" i="1"/>
  <c r="O546" i="1"/>
  <c r="O547" i="1"/>
  <c r="O549" i="1"/>
  <c r="O550" i="1"/>
  <c r="O551" i="1"/>
  <c r="O552" i="1"/>
  <c r="O15" i="1"/>
  <c r="N16" i="1"/>
  <c r="O16" i="1" s="1"/>
  <c r="N17" i="1"/>
  <c r="O17" i="1" s="1"/>
  <c r="N18" i="1"/>
  <c r="O18" i="1" s="1"/>
  <c r="N19" i="1"/>
  <c r="O19" i="1" s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O32" i="1" s="1"/>
  <c r="N33" i="1"/>
  <c r="N34" i="1"/>
  <c r="O34" i="1" s="1"/>
  <c r="N35" i="1"/>
  <c r="N36" i="1"/>
  <c r="N37" i="1"/>
  <c r="N38" i="1"/>
  <c r="N39" i="1"/>
  <c r="N40" i="1"/>
  <c r="N41" i="1"/>
  <c r="O41" i="1" s="1"/>
  <c r="N42" i="1"/>
  <c r="O42" i="1" s="1"/>
  <c r="N43" i="1"/>
  <c r="N44" i="1"/>
  <c r="O44" i="1" s="1"/>
  <c r="N45" i="1"/>
  <c r="O45" i="1" s="1"/>
  <c r="N46" i="1"/>
  <c r="O46" i="1" s="1"/>
  <c r="N47" i="1"/>
  <c r="N48" i="1"/>
  <c r="N49" i="1"/>
  <c r="N50" i="1"/>
  <c r="O50" i="1" s="1"/>
  <c r="N51" i="1"/>
  <c r="N52" i="1"/>
  <c r="N53" i="1"/>
  <c r="O53" i="1" s="1"/>
  <c r="N54" i="1"/>
  <c r="N55" i="1"/>
  <c r="N56" i="1"/>
  <c r="N57" i="1"/>
  <c r="N58" i="1"/>
  <c r="O58" i="1" s="1"/>
  <c r="N59" i="1"/>
  <c r="N60" i="1"/>
  <c r="N61" i="1"/>
  <c r="N62" i="1"/>
  <c r="N63" i="1"/>
  <c r="N64" i="1"/>
  <c r="O64" i="1" s="1"/>
  <c r="N65" i="1"/>
  <c r="N66" i="1"/>
  <c r="N67" i="1"/>
  <c r="N68" i="1"/>
  <c r="O68" i="1" s="1"/>
  <c r="N69" i="1"/>
  <c r="O69" i="1" s="1"/>
  <c r="N70" i="1"/>
  <c r="N71" i="1"/>
  <c r="N72" i="1"/>
  <c r="N73" i="1"/>
  <c r="O73" i="1" s="1"/>
  <c r="N74" i="1"/>
  <c r="N75" i="1"/>
  <c r="O75" i="1" s="1"/>
  <c r="N76" i="1"/>
  <c r="N77" i="1"/>
  <c r="O77" i="1" s="1"/>
  <c r="N78" i="1"/>
  <c r="O78" i="1" s="1"/>
  <c r="N79" i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N87" i="1"/>
  <c r="N88" i="1"/>
  <c r="N89" i="1"/>
  <c r="N90" i="1"/>
  <c r="N91" i="1"/>
  <c r="N92" i="1"/>
  <c r="N93" i="1"/>
  <c r="N94" i="1"/>
  <c r="N95" i="1"/>
  <c r="N96" i="1"/>
  <c r="O96" i="1" s="1"/>
  <c r="N97" i="1"/>
  <c r="O97" i="1" s="1"/>
  <c r="N98" i="1"/>
  <c r="O98" i="1" s="1"/>
  <c r="N99" i="1"/>
  <c r="O99" i="1" s="1"/>
  <c r="N100" i="1"/>
  <c r="O100" i="1" s="1"/>
  <c r="N101" i="1"/>
  <c r="N102" i="1"/>
  <c r="N103" i="1"/>
  <c r="N104" i="1"/>
  <c r="N105" i="1"/>
  <c r="N106" i="1"/>
  <c r="N107" i="1"/>
  <c r="O107" i="1" s="1"/>
  <c r="N108" i="1"/>
  <c r="O108" i="1" s="1"/>
  <c r="N109" i="1"/>
  <c r="O109" i="1" s="1"/>
  <c r="N110" i="1"/>
  <c r="O110" i="1" s="1"/>
  <c r="N111" i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N119" i="1"/>
  <c r="N120" i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N128" i="1"/>
  <c r="O128" i="1" s="1"/>
  <c r="N129" i="1"/>
  <c r="N130" i="1"/>
  <c r="N131" i="1"/>
  <c r="N132" i="1"/>
  <c r="N133" i="1"/>
  <c r="N134" i="1"/>
  <c r="N135" i="1"/>
  <c r="N136" i="1"/>
  <c r="N137" i="1"/>
  <c r="O137" i="1" s="1"/>
  <c r="N138" i="1"/>
  <c r="N139" i="1"/>
  <c r="N140" i="1"/>
  <c r="O140" i="1" s="1"/>
  <c r="N141" i="1"/>
  <c r="O141" i="1" s="1"/>
  <c r="N142" i="1"/>
  <c r="N143" i="1"/>
  <c r="N144" i="1"/>
  <c r="N145" i="1"/>
  <c r="N146" i="1"/>
  <c r="O146" i="1" s="1"/>
  <c r="N147" i="1"/>
  <c r="O147" i="1" s="1"/>
  <c r="N148" i="1"/>
  <c r="O148" i="1" s="1"/>
  <c r="N149" i="1"/>
  <c r="O149" i="1" s="1"/>
  <c r="N150" i="1"/>
  <c r="N151" i="1"/>
  <c r="N152" i="1"/>
  <c r="N153" i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N160" i="1"/>
  <c r="N161" i="1"/>
  <c r="N162" i="1"/>
  <c r="N163" i="1"/>
  <c r="N164" i="1"/>
  <c r="N165" i="1"/>
  <c r="O165" i="1" s="1"/>
  <c r="N166" i="1"/>
  <c r="N167" i="1"/>
  <c r="N168" i="1"/>
  <c r="N169" i="1"/>
  <c r="N170" i="1"/>
  <c r="O170" i="1" s="1"/>
  <c r="N171" i="1"/>
  <c r="O171" i="1" s="1"/>
  <c r="N172" i="1"/>
  <c r="N173" i="1"/>
  <c r="N174" i="1"/>
  <c r="O174" i="1" s="1"/>
  <c r="N175" i="1"/>
  <c r="N176" i="1"/>
  <c r="N177" i="1"/>
  <c r="O177" i="1" s="1"/>
  <c r="N178" i="1"/>
  <c r="N179" i="1"/>
  <c r="N180" i="1"/>
  <c r="N181" i="1"/>
  <c r="O181" i="1" s="1"/>
  <c r="N182" i="1"/>
  <c r="N183" i="1"/>
  <c r="N184" i="1"/>
  <c r="N185" i="1"/>
  <c r="O185" i="1" s="1"/>
  <c r="N186" i="1"/>
  <c r="O186" i="1" s="1"/>
  <c r="N187" i="1"/>
  <c r="N188" i="1"/>
  <c r="N189" i="1"/>
  <c r="O189" i="1" s="1"/>
  <c r="N190" i="1"/>
  <c r="N191" i="1"/>
  <c r="N192" i="1"/>
  <c r="O192" i="1" s="1"/>
  <c r="N193" i="1"/>
  <c r="N194" i="1"/>
  <c r="N195" i="1"/>
  <c r="O195" i="1" s="1"/>
  <c r="N196" i="1"/>
  <c r="O196" i="1" s="1"/>
  <c r="N197" i="1"/>
  <c r="N198" i="1"/>
  <c r="N199" i="1"/>
  <c r="N200" i="1"/>
  <c r="N201" i="1"/>
  <c r="O201" i="1" s="1"/>
  <c r="N202" i="1"/>
  <c r="N203" i="1"/>
  <c r="N204" i="1"/>
  <c r="N205" i="1"/>
  <c r="N206" i="1"/>
  <c r="N207" i="1"/>
  <c r="N208" i="1"/>
  <c r="N209" i="1"/>
  <c r="O209" i="1" s="1"/>
  <c r="N210" i="1"/>
  <c r="N211" i="1"/>
  <c r="N212" i="1"/>
  <c r="N213" i="1"/>
  <c r="N214" i="1"/>
  <c r="N215" i="1"/>
  <c r="N216" i="1"/>
  <c r="N217" i="1"/>
  <c r="O217" i="1" s="1"/>
  <c r="N218" i="1"/>
  <c r="N219" i="1"/>
  <c r="O219" i="1" s="1"/>
  <c r="N220" i="1"/>
  <c r="N221" i="1"/>
  <c r="O221" i="1" s="1"/>
  <c r="N222" i="1"/>
  <c r="O222" i="1" s="1"/>
  <c r="N223" i="1"/>
  <c r="N224" i="1"/>
  <c r="N225" i="1"/>
  <c r="N226" i="1"/>
  <c r="O226" i="1" s="1"/>
  <c r="N227" i="1"/>
  <c r="O227" i="1" s="1"/>
  <c r="N228" i="1"/>
  <c r="N229" i="1"/>
  <c r="O229" i="1" s="1"/>
  <c r="N230" i="1"/>
  <c r="N231" i="1"/>
  <c r="N232" i="1"/>
  <c r="N233" i="1"/>
  <c r="N234" i="1"/>
  <c r="N235" i="1"/>
  <c r="O235" i="1" s="1"/>
  <c r="N236" i="1"/>
  <c r="O236" i="1" s="1"/>
  <c r="N237" i="1"/>
  <c r="O237" i="1" s="1"/>
  <c r="N238" i="1"/>
  <c r="N239" i="1"/>
  <c r="N240" i="1"/>
  <c r="N241" i="1"/>
  <c r="N242" i="1"/>
  <c r="O242" i="1" s="1"/>
  <c r="N243" i="1"/>
  <c r="N244" i="1"/>
  <c r="N245" i="1"/>
  <c r="N246" i="1"/>
  <c r="N247" i="1"/>
  <c r="N248" i="1"/>
  <c r="N249" i="1"/>
  <c r="O249" i="1" s="1"/>
  <c r="N250" i="1"/>
  <c r="O250" i="1" s="1"/>
  <c r="N251" i="1"/>
  <c r="N252" i="1"/>
  <c r="O252" i="1" s="1"/>
  <c r="N253" i="1"/>
  <c r="O253" i="1" s="1"/>
  <c r="N254" i="1"/>
  <c r="O254" i="1" s="1"/>
  <c r="N255" i="1"/>
  <c r="N256" i="1"/>
  <c r="N257" i="1"/>
  <c r="O257" i="1" s="1"/>
  <c r="N258" i="1"/>
  <c r="O258" i="1" s="1"/>
  <c r="N259" i="1"/>
  <c r="O259" i="1" s="1"/>
  <c r="N260" i="1"/>
  <c r="N261" i="1"/>
  <c r="N262" i="1"/>
  <c r="N263" i="1"/>
  <c r="N264" i="1"/>
  <c r="N265" i="1"/>
  <c r="N266" i="1"/>
  <c r="N267" i="1"/>
  <c r="O267" i="1" s="1"/>
  <c r="N268" i="1"/>
  <c r="O268" i="1" s="1"/>
  <c r="N269" i="1"/>
  <c r="O269" i="1" s="1"/>
  <c r="N270" i="1"/>
  <c r="O270" i="1" s="1"/>
  <c r="N271" i="1"/>
  <c r="N272" i="1"/>
  <c r="O272" i="1" s="1"/>
  <c r="N273" i="1"/>
  <c r="N274" i="1"/>
  <c r="N275" i="1"/>
  <c r="N276" i="1"/>
  <c r="N277" i="1"/>
  <c r="N278" i="1"/>
  <c r="N279" i="1"/>
  <c r="N280" i="1"/>
  <c r="N281" i="1"/>
  <c r="O281" i="1" s="1"/>
  <c r="N282" i="1"/>
  <c r="N283" i="1"/>
  <c r="N284" i="1"/>
  <c r="N285" i="1"/>
  <c r="N286" i="1"/>
  <c r="N287" i="1"/>
  <c r="N288" i="1"/>
  <c r="O288" i="1" s="1"/>
  <c r="N289" i="1"/>
  <c r="N290" i="1"/>
  <c r="O290" i="1" s="1"/>
  <c r="N291" i="1"/>
  <c r="N292" i="1"/>
  <c r="N293" i="1"/>
  <c r="N294" i="1"/>
  <c r="N295" i="1"/>
  <c r="N296" i="1"/>
  <c r="N297" i="1"/>
  <c r="O297" i="1" s="1"/>
  <c r="N298" i="1"/>
  <c r="O298" i="1" s="1"/>
  <c r="N299" i="1"/>
  <c r="N300" i="1"/>
  <c r="N301" i="1"/>
  <c r="N302" i="1"/>
  <c r="N303" i="1"/>
  <c r="N304" i="1"/>
  <c r="N305" i="1"/>
  <c r="O305" i="1" s="1"/>
  <c r="N306" i="1"/>
  <c r="O306" i="1" s="1"/>
  <c r="N307" i="1"/>
  <c r="N308" i="1"/>
  <c r="N309" i="1"/>
  <c r="N310" i="1"/>
  <c r="N311" i="1"/>
  <c r="N312" i="1"/>
  <c r="N313" i="1"/>
  <c r="N314" i="1"/>
  <c r="O314" i="1" s="1"/>
  <c r="N315" i="1"/>
  <c r="N316" i="1"/>
  <c r="N317" i="1"/>
  <c r="N318" i="1"/>
  <c r="N319" i="1"/>
  <c r="N320" i="1"/>
  <c r="O320" i="1" s="1"/>
  <c r="N321" i="1"/>
  <c r="O321" i="1" s="1"/>
  <c r="N322" i="1"/>
  <c r="N323" i="1"/>
  <c r="O323" i="1" s="1"/>
  <c r="N324" i="1"/>
  <c r="O324" i="1" s="1"/>
  <c r="N325" i="1"/>
  <c r="N326" i="1"/>
  <c r="N327" i="1"/>
  <c r="N328" i="1"/>
  <c r="N329" i="1"/>
  <c r="O329" i="1" s="1"/>
  <c r="N330" i="1"/>
  <c r="N331" i="1"/>
  <c r="O331" i="1" s="1"/>
  <c r="N332" i="1"/>
  <c r="O332" i="1" s="1"/>
  <c r="N333" i="1"/>
  <c r="O333" i="1" s="1"/>
  <c r="N334" i="1"/>
  <c r="N335" i="1"/>
  <c r="N336" i="1"/>
  <c r="N337" i="1"/>
  <c r="N338" i="1"/>
  <c r="O338" i="1" s="1"/>
  <c r="N339" i="1"/>
  <c r="O339" i="1" s="1"/>
  <c r="N340" i="1"/>
  <c r="O340" i="1" s="1"/>
  <c r="N341" i="1"/>
  <c r="N342" i="1"/>
  <c r="N343" i="1"/>
  <c r="N344" i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N352" i="1"/>
  <c r="O352" i="1" s="1"/>
  <c r="N353" i="1"/>
  <c r="O353" i="1" s="1"/>
  <c r="N354" i="1"/>
  <c r="N355" i="1"/>
  <c r="O355" i="1" s="1"/>
  <c r="N356" i="1"/>
  <c r="O356" i="1" s="1"/>
  <c r="N357" i="1"/>
  <c r="O357" i="1" s="1"/>
  <c r="N358" i="1"/>
  <c r="N359" i="1"/>
  <c r="N360" i="1"/>
  <c r="N361" i="1"/>
  <c r="N362" i="1"/>
  <c r="N363" i="1"/>
  <c r="O363" i="1" s="1"/>
  <c r="N364" i="1"/>
  <c r="N365" i="1"/>
  <c r="N366" i="1"/>
  <c r="O366" i="1" s="1"/>
  <c r="N367" i="1"/>
  <c r="N368" i="1"/>
  <c r="O368" i="1" s="1"/>
  <c r="N369" i="1"/>
  <c r="O369" i="1" s="1"/>
  <c r="N370" i="1"/>
  <c r="O370" i="1" s="1"/>
  <c r="N371" i="1"/>
  <c r="O371" i="1" s="1"/>
  <c r="N372" i="1"/>
  <c r="N373" i="1"/>
  <c r="O373" i="1" s="1"/>
  <c r="N374" i="1"/>
  <c r="N375" i="1"/>
  <c r="N376" i="1"/>
  <c r="N377" i="1"/>
  <c r="O377" i="1" s="1"/>
  <c r="N378" i="1"/>
  <c r="N379" i="1"/>
  <c r="O379" i="1" s="1"/>
  <c r="N380" i="1"/>
  <c r="O380" i="1" s="1"/>
  <c r="N381" i="1"/>
  <c r="O381" i="1" s="1"/>
  <c r="N382" i="1"/>
  <c r="O382" i="1" s="1"/>
  <c r="N383" i="1"/>
  <c r="N384" i="1"/>
  <c r="O384" i="1" s="1"/>
  <c r="N385" i="1"/>
  <c r="O385" i="1" s="1"/>
  <c r="N386" i="1"/>
  <c r="O386" i="1" s="1"/>
  <c r="N387" i="1"/>
  <c r="O387" i="1" s="1"/>
  <c r="N388" i="1"/>
  <c r="N389" i="1"/>
  <c r="N390" i="1"/>
  <c r="N391" i="1"/>
  <c r="N392" i="1"/>
  <c r="N393" i="1"/>
  <c r="O393" i="1" s="1"/>
  <c r="N394" i="1"/>
  <c r="O394" i="1" s="1"/>
  <c r="N395" i="1"/>
  <c r="O395" i="1" s="1"/>
  <c r="N396" i="1"/>
  <c r="O396" i="1" s="1"/>
  <c r="N397" i="1"/>
  <c r="N398" i="1"/>
  <c r="N399" i="1"/>
  <c r="N400" i="1"/>
  <c r="N401" i="1"/>
  <c r="N402" i="1"/>
  <c r="N403" i="1"/>
  <c r="N404" i="1"/>
  <c r="O404" i="1" s="1"/>
  <c r="N405" i="1"/>
  <c r="N406" i="1"/>
  <c r="N407" i="1"/>
  <c r="N408" i="1"/>
  <c r="N409" i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N416" i="1"/>
  <c r="O416" i="1" s="1"/>
  <c r="N417" i="1"/>
  <c r="N418" i="1"/>
  <c r="N419" i="1"/>
  <c r="O419" i="1" s="1"/>
  <c r="N420" i="1"/>
  <c r="N421" i="1"/>
  <c r="O421" i="1" s="1"/>
  <c r="N422" i="1"/>
  <c r="N423" i="1"/>
  <c r="N424" i="1"/>
  <c r="N425" i="1"/>
  <c r="N426" i="1"/>
  <c r="N427" i="1"/>
  <c r="O427" i="1" s="1"/>
  <c r="N428" i="1"/>
  <c r="O428" i="1" s="1"/>
  <c r="N429" i="1"/>
  <c r="O429" i="1" s="1"/>
  <c r="N430" i="1"/>
  <c r="O430" i="1" s="1"/>
  <c r="N431" i="1"/>
  <c r="N432" i="1"/>
  <c r="O432" i="1" s="1"/>
  <c r="N433" i="1"/>
  <c r="O433" i="1" s="1"/>
  <c r="N434" i="1"/>
  <c r="N435" i="1"/>
  <c r="O435" i="1" s="1"/>
  <c r="N436" i="1"/>
  <c r="N437" i="1"/>
  <c r="O437" i="1" s="1"/>
  <c r="N438" i="1"/>
  <c r="N439" i="1"/>
  <c r="N440" i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N448" i="1"/>
  <c r="O448" i="1" s="1"/>
  <c r="N449" i="1"/>
  <c r="O449" i="1" s="1"/>
  <c r="N450" i="1"/>
  <c r="O450" i="1" s="1"/>
  <c r="N451" i="1"/>
  <c r="O451" i="1" s="1"/>
  <c r="N452" i="1"/>
  <c r="N453" i="1"/>
  <c r="N454" i="1"/>
  <c r="N455" i="1"/>
  <c r="N456" i="1"/>
  <c r="N457" i="1"/>
  <c r="O457" i="1" s="1"/>
  <c r="N458" i="1"/>
  <c r="O458" i="1" s="1"/>
  <c r="N459" i="1"/>
  <c r="N460" i="1"/>
  <c r="N461" i="1"/>
  <c r="N462" i="1"/>
  <c r="N463" i="1"/>
  <c r="N464" i="1"/>
  <c r="N465" i="1"/>
  <c r="O465" i="1" s="1"/>
  <c r="N466" i="1"/>
  <c r="O466" i="1" s="1"/>
  <c r="N467" i="1"/>
  <c r="O467" i="1" s="1"/>
  <c r="N468" i="1"/>
  <c r="O468" i="1" s="1"/>
  <c r="N469" i="1"/>
  <c r="N470" i="1"/>
  <c r="N471" i="1"/>
  <c r="N472" i="1"/>
  <c r="N473" i="1"/>
  <c r="N474" i="1"/>
  <c r="N475" i="1"/>
  <c r="N476" i="1"/>
  <c r="N477" i="1"/>
  <c r="O477" i="1" s="1"/>
  <c r="N478" i="1"/>
  <c r="O478" i="1" s="1"/>
  <c r="N479" i="1"/>
  <c r="N480" i="1"/>
  <c r="N481" i="1"/>
  <c r="N482" i="1"/>
  <c r="N483" i="1"/>
  <c r="N484" i="1"/>
  <c r="N485" i="1"/>
  <c r="O485" i="1" s="1"/>
  <c r="N486" i="1"/>
  <c r="N487" i="1"/>
  <c r="N488" i="1"/>
  <c r="N489" i="1"/>
  <c r="O489" i="1" s="1"/>
  <c r="N490" i="1"/>
  <c r="N491" i="1"/>
  <c r="O491" i="1" s="1"/>
  <c r="N492" i="1"/>
  <c r="N493" i="1"/>
  <c r="N494" i="1"/>
  <c r="N495" i="1"/>
  <c r="N496" i="1"/>
  <c r="N497" i="1"/>
  <c r="N498" i="1"/>
  <c r="N499" i="1"/>
  <c r="N500" i="1"/>
  <c r="N501" i="1"/>
  <c r="O501" i="1" s="1"/>
  <c r="N502" i="1"/>
  <c r="N503" i="1"/>
  <c r="N504" i="1"/>
  <c r="N505" i="1"/>
  <c r="O505" i="1" s="1"/>
  <c r="N506" i="1"/>
  <c r="N507" i="1"/>
  <c r="O507" i="1" s="1"/>
  <c r="N508" i="1"/>
  <c r="N509" i="1"/>
  <c r="N510" i="1"/>
  <c r="N511" i="1"/>
  <c r="N512" i="1"/>
  <c r="O512" i="1" s="1"/>
  <c r="N513" i="1"/>
  <c r="O513" i="1" s="1"/>
  <c r="N514" i="1"/>
  <c r="O514" i="1" s="1"/>
  <c r="N515" i="1"/>
  <c r="N516" i="1"/>
  <c r="N517" i="1"/>
  <c r="N518" i="1"/>
  <c r="N519" i="1"/>
  <c r="N520" i="1"/>
  <c r="N521" i="1"/>
  <c r="N522" i="1"/>
  <c r="O522" i="1" s="1"/>
  <c r="N523" i="1"/>
  <c r="N524" i="1"/>
  <c r="N525" i="1"/>
  <c r="O525" i="1" s="1"/>
  <c r="N526" i="1"/>
  <c r="O526" i="1" s="1"/>
  <c r="N527" i="1"/>
  <c r="N528" i="1"/>
  <c r="O528" i="1" s="1"/>
  <c r="N529" i="1"/>
  <c r="O529" i="1" s="1"/>
  <c r="N530" i="1"/>
  <c r="O530" i="1" s="1"/>
  <c r="N531" i="1"/>
  <c r="N532" i="1"/>
  <c r="O532" i="1" s="1"/>
  <c r="N533" i="1"/>
  <c r="O533" i="1" s="1"/>
  <c r="N534" i="1"/>
  <c r="N535" i="1"/>
  <c r="N536" i="1"/>
  <c r="N537" i="1"/>
  <c r="O537" i="1" s="1"/>
  <c r="N538" i="1"/>
  <c r="O538" i="1" s="1"/>
  <c r="N539" i="1"/>
  <c r="N540" i="1"/>
  <c r="N541" i="1"/>
  <c r="N542" i="1"/>
  <c r="N543" i="1"/>
  <c r="N544" i="1"/>
  <c r="N545" i="1"/>
  <c r="N546" i="1"/>
  <c r="N547" i="1"/>
  <c r="N548" i="1"/>
  <c r="O548" i="1" s="1"/>
  <c r="N549" i="1"/>
  <c r="N550" i="1"/>
  <c r="N551" i="1"/>
  <c r="N552" i="1"/>
  <c r="N15" i="1"/>
  <c r="J554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5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Rocha</author>
  </authors>
  <commentList>
    <comment ref="B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Código interno da Drogarias Rocha. Mesmo código em mais de uma linha = mesmo produto com EANs diferentes; cote o(s) EAN(s) que tiver.</t>
        </r>
      </text>
    </comment>
  </commentList>
</comments>
</file>

<file path=xl/sharedStrings.xml><?xml version="1.0" encoding="utf-8"?>
<sst xmlns="http://schemas.openxmlformats.org/spreadsheetml/2006/main" count="1084" uniqueCount="647">
  <si>
    <t>DROGARIAS ROCHA — COTAÇÃO DE PREÇOS</t>
  </si>
  <si>
    <t>Solicitação emitida em 05/10/2026  •  538 itens (EANs)</t>
  </si>
  <si>
    <t>Distribuidora:</t>
  </si>
  <si>
    <t>NAZARIA</t>
  </si>
  <si>
    <t>Prazo de pagamento:</t>
  </si>
  <si>
    <t>Vendedor(a):</t>
  </si>
  <si>
    <t>Pedido mínimo (R$):</t>
  </si>
  <si>
    <t>Telefone / WhatsApp:</t>
  </si>
  <si>
    <t>Frete / Prazo de entrega:</t>
  </si>
  <si>
    <t>E-mail:</t>
  </si>
  <si>
    <t>Validade da proposta:</t>
  </si>
  <si>
    <t>COMO PREENCHER:  preencha somente as células AMARELAS (dados acima e colunas G, H e I da tabela).</t>
  </si>
  <si>
    <t>• Cada linha é um EAN. Informe o PREÇO LÍQUIDO (já com desconto e impostos/ST) da embalagem que o EAN representa (caixa, display etc.). Ex.: 12,34</t>
  </si>
  <si>
    <t>• Sem o item ou sem estoque: deixe o preço em branco. Estoque parcial: informe a quantidade disponível na coluna H.</t>
  </si>
  <si>
    <t>• Não altere, exclua nem reordene linhas e colunas. Devolva este mesmo arquivo em Excel (.xlsx).</t>
  </si>
  <si>
    <t>Item</t>
  </si>
  <si>
    <t>Cód. Rocha</t>
  </si>
  <si>
    <t>EAN</t>
  </si>
  <si>
    <t>Produto</t>
  </si>
  <si>
    <t>Fabricante</t>
  </si>
  <si>
    <t>Qtde (emb.)</t>
  </si>
  <si>
    <t>Preço líquido por emb. (R$)</t>
  </si>
  <si>
    <t>Qtde disponível (emb.)</t>
  </si>
  <si>
    <t>Observação</t>
  </si>
  <si>
    <t>Total (R$)</t>
  </si>
  <si>
    <t>ABRILAR 7MG XPE FR 100ML+CM</t>
  </si>
  <si>
    <t>FQM/FARMA</t>
  </si>
  <si>
    <t>ABS P/SEIOS AMAME DIA&amp;NOITE C/24-DEMAIS PROD</t>
  </si>
  <si>
    <t>ACTINE GEL DE LIMP 140G</t>
  </si>
  <si>
    <t>DARROW LABORATÓRIO</t>
  </si>
  <si>
    <t>ACTINE PROT SOLAR FPS60 40G</t>
  </si>
  <si>
    <t>ELSEVE</t>
  </si>
  <si>
    <t>ACTINE PROT SOLAR FPS60 COR 40G</t>
  </si>
  <si>
    <t>LA ROCHE</t>
  </si>
  <si>
    <t>ADEFORTE ORAL 01 AMP</t>
  </si>
  <si>
    <t>GROSS</t>
  </si>
  <si>
    <t>ADEFORTE TURBO USO ORAL 2AMP 3ML</t>
  </si>
  <si>
    <t>AEROLIN SPRAY 200DOS</t>
  </si>
  <si>
    <t>GSK</t>
  </si>
  <si>
    <t>AIDE 3 200UI SOL OR FR 10ML</t>
  </si>
  <si>
    <t>EUROFARMA</t>
  </si>
  <si>
    <t>ALGILIVE 160MG CX 10 CAP</t>
  </si>
  <si>
    <t>ACHE</t>
  </si>
  <si>
    <t>ALGINAC 1,0+100,0+100,0MG CX 10 COMP REV LIB RETARD</t>
  </si>
  <si>
    <t>P&amp;G</t>
  </si>
  <si>
    <t>ALGINAC 1,0+50,0+50,0MG CX 15 COMP</t>
  </si>
  <si>
    <t>ALGINAC 1,0+50,0+50,0MG CX 30 CP</t>
  </si>
  <si>
    <t>ALGINAC 50,0+50,0MG/ML SOL INJ 3 AMP 2ML+3 AMP 1ML</t>
  </si>
  <si>
    <t>ALIVIUM 400MG CX 10 CAP</t>
  </si>
  <si>
    <t>MANTECORP/FARMASA</t>
  </si>
  <si>
    <t>AMORA 2,0+0,03MG CX 21 COMP REV</t>
  </si>
  <si>
    <t>ANA-FLEX 35+300+50MG CARTELA C/ 10CP</t>
  </si>
  <si>
    <t>CRISTALIA</t>
  </si>
  <si>
    <t>ANCORON 200MG CX 30 COMP REV</t>
  </si>
  <si>
    <t>LIBBS</t>
  </si>
  <si>
    <t>ANDOLBA 4,5%+0,5%+0,5% AER TOP TB 43G</t>
  </si>
  <si>
    <t>MOMENTA</t>
  </si>
  <si>
    <t>ANDOLBA AEROSOL 43G</t>
  </si>
  <si>
    <t>ANNITA 20MG/ML PO SUS ORAL FR 100ML</t>
  </si>
  <si>
    <t>ANNITA 20MG/ML PO SUS ORAL FR 45ML</t>
  </si>
  <si>
    <t>ANNITA 500MG CX 6 COMP</t>
  </si>
  <si>
    <t>ANSITEC 5MG CX 20 COMP</t>
  </si>
  <si>
    <t>ANTHELIOS LRP AIRLIC FL FPS50 S/COR 40ML</t>
  </si>
  <si>
    <t>LOREAL</t>
  </si>
  <si>
    <t>ANTHELIOS LRP AIRLIC FPS70 2.0 40G+NECESSARIE</t>
  </si>
  <si>
    <t>ANTHELIOS LRP AIRLIC+FLUIDO FPS50+EFFACL CONC 50G</t>
  </si>
  <si>
    <t>ANTROFI 10MG/G CREM VAG BG 30G+20 APLIC</t>
  </si>
  <si>
    <t>APAR PRES DIG HOME GP200 G-TECH-DEMAIS PROD</t>
  </si>
  <si>
    <t>G-TECH</t>
  </si>
  <si>
    <t>APARELHO DE PRESSAO DIGITAL DE BRACO BSPII</t>
  </si>
  <si>
    <t>APARELHO DE PRESSAO DIGITAL DE PULSO PREMIUM</t>
  </si>
  <si>
    <t>APRESOLINA 25MG CX 20 DRG</t>
  </si>
  <si>
    <t>NOVARTIS</t>
  </si>
  <si>
    <t>APRESOLINA 25MG CX 60 DRG</t>
  </si>
  <si>
    <t>APRESOLINA 50MG CX 20 DRG</t>
  </si>
  <si>
    <t>ARCOXIA 90MG CX 7 COMP</t>
  </si>
  <si>
    <t>ORGANON</t>
  </si>
  <si>
    <t>ASEPXIA PO COMPA MARFIM 10G</t>
  </si>
  <si>
    <t>GENOMA</t>
  </si>
  <si>
    <t>ASPIRINA 500MG CX 100 COMP ACLAR</t>
  </si>
  <si>
    <t>BAYER</t>
  </si>
  <si>
    <t>ASPIRINA C EFERVESC 400+240MG LIMÃO CARTELA</t>
  </si>
  <si>
    <t>ATAK CLAV 875+125MG CX 14 COMP REV</t>
  </si>
  <si>
    <t>ATENSINA 0,100MG CX 30 COMP</t>
  </si>
  <si>
    <t>MAWDSLEYS</t>
  </si>
  <si>
    <t>ATENTAH 10MG C/30 CAPS (C1)-REFERENCIA</t>
  </si>
  <si>
    <t>APSEN</t>
  </si>
  <si>
    <t>ATROVENT 0,25MG/ML SOL INAL CT FR VD AMB X 20ML</t>
  </si>
  <si>
    <t>BOEHRINGER</t>
  </si>
  <si>
    <t>ATTENZE 10MG CX 30 COMP</t>
  </si>
  <si>
    <t>AVAMYS 27,5MG SPRAY NAS 120 DOS</t>
  </si>
  <si>
    <t>AVIDE 100MG CX 9 CAP</t>
  </si>
  <si>
    <t>AZELAN 150 MG/G GEL CT BG AL X 30 G</t>
  </si>
  <si>
    <t>LEO PHARMA</t>
  </si>
  <si>
    <t>AZUKON MR 30MG CX 30 COMP LIB PROL</t>
  </si>
  <si>
    <t>TORRENT DO BRASIL</t>
  </si>
  <si>
    <t>BACTRIM F CX 10 COMP</t>
  </si>
  <si>
    <t>BACTROBAN POMADA BG 10G</t>
  </si>
  <si>
    <t>BENALET 5+50+10MG PASTILHA CARTELA MEL/LIMAO C/ 4UN</t>
  </si>
  <si>
    <t>JOHNSON &amp; JOHNSON</t>
  </si>
  <si>
    <t>BENALET 5+50+10MG PASTILHA CARTELA MENTA C/ 4UN</t>
  </si>
  <si>
    <t>BENALET 5+50+10MG PASTILHA SB MEL E LIMAO CX C/ 12UN</t>
  </si>
  <si>
    <t>BENALET 5+50+10MG PASTILHA SB MENTA CX C/ 12UN</t>
  </si>
  <si>
    <t>BENERVA 300MG CX 30 COMP REV</t>
  </si>
  <si>
    <t>CELLERA FARMA</t>
  </si>
  <si>
    <t>BENZETACIL 300.000U/ML SUS INJ 1FA X 4ML</t>
  </si>
  <si>
    <t>SUPERA</t>
  </si>
  <si>
    <t>BEPANTOL BABY 30+15G</t>
  </si>
  <si>
    <t>BEPANTOL DERMA CR 20GR</t>
  </si>
  <si>
    <t>BEPANTOL DERMA CR 40GR</t>
  </si>
  <si>
    <t>BEPANTOL DERMA PROT LAB F50 4,5G-DEMAIS PROD</t>
  </si>
  <si>
    <t>BEPANTOL DERMA REGENERADOR 200ML-DEMAIS PROD</t>
  </si>
  <si>
    <t>BEPANTOL DERMA ROSA MOSQUETA 20G-DEMAIS PROD</t>
  </si>
  <si>
    <t>BEPANTOL DERMA SOL 50ML</t>
  </si>
  <si>
    <t>BEPANTOL LENCOS UMED BIO 48UN-DEMAIS PROD</t>
  </si>
  <si>
    <t>BEPANTOL TATTOO CR RESTAURA 30G-DEMAIS PROD</t>
  </si>
  <si>
    <t>BESEROL 300+125+50+30MG CX 12 COMP</t>
  </si>
  <si>
    <t>MEGALABS</t>
  </si>
  <si>
    <t>BESEROL 300+125+50+30MG CX 4 COMP</t>
  </si>
  <si>
    <t>BETATRINTA 5+2MG/ML SUS INJ AMP X 1ML+SER SIST</t>
  </si>
  <si>
    <t>BETINA 24MG CX 30 COMP</t>
  </si>
  <si>
    <t>BEXAI 35MG CX 10 CAP</t>
  </si>
  <si>
    <t>SIGMA PHARMA</t>
  </si>
  <si>
    <t>BIOVICERIN  END/ML SUS OR 2 FLAC X 5ML</t>
  </si>
  <si>
    <t>MEGALABS FARMACEUTICA</t>
  </si>
  <si>
    <t>BIOVICERIN END/ML SUS OR FRACIONADO 1UND</t>
  </si>
  <si>
    <t>GEYER</t>
  </si>
  <si>
    <t>BRONCHO-VAXOM 3,5MG GRAN CX 30 SACHETS</t>
  </si>
  <si>
    <t>CHIESI</t>
  </si>
  <si>
    <t>BRONDILAT 5MG XPE FR 120ML+CM PED</t>
  </si>
  <si>
    <t>BRONZ E PROTEC SOLAR  HIDRAT FPS30 200ML  NIVEA</t>
  </si>
  <si>
    <t>NIVEA</t>
  </si>
  <si>
    <t>BYE BYE FEVER PARA BEBES C/2UN(HSM)</t>
  </si>
  <si>
    <t>GEOLAB</t>
  </si>
  <si>
    <t>BYE BYE FEVER PARA CRIANCAS C/2UN(HSM)</t>
  </si>
  <si>
    <t>PADRAO</t>
  </si>
  <si>
    <t>CALADRYL POS SOL CR 28G</t>
  </si>
  <si>
    <t>EMS</t>
  </si>
  <si>
    <t>CALADRYL POS SOL LOC 100ML</t>
  </si>
  <si>
    <t>CALCITRAN MDK CX 30 COMP MAST</t>
  </si>
  <si>
    <t>FQM/DIVCOM</t>
  </si>
  <si>
    <t>CALMAN 100ML</t>
  </si>
  <si>
    <t>CALMAN 20CPR</t>
  </si>
  <si>
    <t>ASPEN</t>
  </si>
  <si>
    <t>CATAFLAM 50MG CX 10 DRG</t>
  </si>
  <si>
    <t>CEFALIV CX 12 COMP</t>
  </si>
  <si>
    <t>CELEBRA 100MG CX 20 CAP</t>
  </si>
  <si>
    <t>MYLAN</t>
  </si>
  <si>
    <t>CELLULAR NIVEA LUMINOUS 630 SERUM 30ML</t>
  </si>
  <si>
    <t>CERAVE CR HIDRAT 50ML</t>
  </si>
  <si>
    <t>CEFISA</t>
  </si>
  <si>
    <t>CERAVE CR RENOVOVADOR P/PES 88G</t>
  </si>
  <si>
    <t>CERAVE CREME HIDRATANTE 200G (CRV)</t>
  </si>
  <si>
    <t>CERAVE CREME HIDRATANTE 454G-DEMAIS PROD</t>
  </si>
  <si>
    <t>CERAVE GEL LIMPEZA 60G</t>
  </si>
  <si>
    <t>CERAVE HIDRAT 200ML</t>
  </si>
  <si>
    <t>CERAVE LOC HIDRAT 50ML</t>
  </si>
  <si>
    <t>CERAVE LOC HIDRAT FACIAL 52ML</t>
  </si>
  <si>
    <t>CERAVE LOCAO HIDRATANTE 340ML-DEMAIS PROD</t>
  </si>
  <si>
    <t>CERAVE LOCAO HIDRATANTE 473ML-DEMAIS PROD</t>
  </si>
  <si>
    <t>CERAVE SA GEL DE LIMPEZA RENOVA 150G</t>
  </si>
  <si>
    <t>CERAZETTE 75MCG 28CPR</t>
  </si>
  <si>
    <t>CERUMIN 0,4+140MG SOL OTO FR GTS 8ML</t>
  </si>
  <si>
    <t>CETAPHIL CR HIDRAT 250G-DEMAIS PROD</t>
  </si>
  <si>
    <t>DERMATTIVE</t>
  </si>
  <si>
    <t>CETAPHIL CR HIDRAT 453GR-DEMAIS PROD</t>
  </si>
  <si>
    <t>GALDERMA</t>
  </si>
  <si>
    <t>CETAPHIL LOC HIDRATANTE 473ML</t>
  </si>
  <si>
    <t>CICAPLAST B5 PLUS 20ML-DEMAIS PROD</t>
  </si>
  <si>
    <t>CICAPLAST LRP B5 PLUS 40ML</t>
  </si>
  <si>
    <t>CICATRICURE AGUA MICELAR 380ML</t>
  </si>
  <si>
    <t>CICATRICURE GEL CICATRIZ/ESTRIAS 30G</t>
  </si>
  <si>
    <t>CITONEURIN 5000 TAB 30 BRA</t>
  </si>
  <si>
    <t>CLARIL 0,25+3MG SOL FR OFT GTS 15ML</t>
  </si>
  <si>
    <t>ALCON</t>
  </si>
  <si>
    <t>CLENIL 0,4MG/ML SUS NAS 2 STR X 5 FLAC X 2ML</t>
  </si>
  <si>
    <t>CLENIL HFA HFA 250MCG SPRAY 200 DOS</t>
  </si>
  <si>
    <t>CLENIL HFA HFA 50MCG SPRAY 200 DOS</t>
  </si>
  <si>
    <t>CLINDOXYL CONTROL 5% 45MG-OUTROS</t>
  </si>
  <si>
    <t>COBAVITAL 1+4MG 16 COMP</t>
  </si>
  <si>
    <t>ABBOTT</t>
  </si>
  <si>
    <t>COBAVITAL 30CPR</t>
  </si>
  <si>
    <t>ABBOTT LABORATORIOS DO BRASIL</t>
  </si>
  <si>
    <t>COBI-12 1000MCG C/30 COMP SUBL-OUTROS</t>
  </si>
  <si>
    <t>EUROFA-GEN</t>
  </si>
  <si>
    <t>COD PAR 500+30MG CX 12 COMP</t>
  </si>
  <si>
    <t>CODEIN 30MG C/12 CP (A2) CRI-REFERENCIA</t>
  </si>
  <si>
    <t>CODEIN 30MG CX 12 COMP</t>
  </si>
  <si>
    <t>COLIDIS FR 5ML</t>
  </si>
  <si>
    <t>COMBODART 0,5+0,4MG CX 30 CAP</t>
  </si>
  <si>
    <t>COMPLEXO ALMEIDA PRADO 46 C/60 COMP-OUTROS</t>
  </si>
  <si>
    <t>CONTRACEP SUS INJ 1 FA X 1ML</t>
  </si>
  <si>
    <t>COREGA PO UNITARIO 22G - MENTA (FRAÇÃO)</t>
  </si>
  <si>
    <t>COXETO 90MG 7 COM REV-B</t>
  </si>
  <si>
    <t>GERMED PRESCRIÇÃO</t>
  </si>
  <si>
    <t>CR FACIAL NIVEA HIDRAT ACNE CONTROL 50G</t>
  </si>
  <si>
    <t>CR FACIAL NIVEA HIDRAT EM GEL FRESH 100ML</t>
  </si>
  <si>
    <t>CR FACIAL NIVEA NUTRITIVO 100G</t>
  </si>
  <si>
    <t>CR NIVEA 29G</t>
  </si>
  <si>
    <t>CREMEFENERGAN 20MG/G CREM DERM BG 30G</t>
  </si>
  <si>
    <t>SANOFI CONSUMER HEALTHCARE</t>
  </si>
  <si>
    <t>CREVAGIN 30+20MG CREM VAG BG X 40G +7APLIC</t>
  </si>
  <si>
    <t>CULTURELLE PROBIOTICO CX 30 SACHES</t>
  </si>
  <si>
    <t>CULTURELLE PROBIOTICO CX 6 SACHES</t>
  </si>
  <si>
    <t>CUTISANOL BABY CREME 45G-DEMAIS PROD</t>
  </si>
  <si>
    <t>NESTLE</t>
  </si>
  <si>
    <t>CYCLOFEMINA 25MG+5MG/0,5ML SUS INJ 1 AMP X 0,5ML</t>
  </si>
  <si>
    <t>HEMAFARMA/CARNOT</t>
  </si>
  <si>
    <t>DAIVOBET 50MCG+0,5MG/G POM DERM BG 30G</t>
  </si>
  <si>
    <t>DAKTARIN GEL ORAL 20MG/G GEL ORAL BG 40G</t>
  </si>
  <si>
    <t>DALYNE 3+0,3MG CX 21 COMP REV</t>
  </si>
  <si>
    <t>DECONGEX PLUS 0,4+1MG/ML XPE FR 120ML</t>
  </si>
  <si>
    <t>DECONTOSSE 40MG/ML XPE 100ML+CP</t>
  </si>
  <si>
    <t>DEPO PROVERA 150MG SUS INJ 1FA X 1ML</t>
  </si>
  <si>
    <t>PFIZER</t>
  </si>
  <si>
    <t>DEPO PROVERA 150MG SUS INJ 1FA X 1ML+1SER PREENCH</t>
  </si>
  <si>
    <t>DERMO EXP AGUA MICELAR 200ML</t>
  </si>
  <si>
    <t>LOREAL PARIS</t>
  </si>
  <si>
    <t>DERSANI HIDROGEL ALGINATO 30G-DEMAIS PROD</t>
  </si>
  <si>
    <t>DERSANI ORIGINAL LOC OLEOSA 100ML</t>
  </si>
  <si>
    <t>DES.HID.NIVEA LOTION 200ML</t>
  </si>
  <si>
    <t>DEXA-CITONEURIN NFF C/3APX1ML (PGO)</t>
  </si>
  <si>
    <t>PROCTER   GAMBLE DO BRASIL</t>
  </si>
  <si>
    <t>DEXILANT 30MG CX 30 CAP LIB RETARD</t>
  </si>
  <si>
    <t>TAKEDA PHARMA</t>
  </si>
  <si>
    <t>DEXILANT 60MG CX 30 CAP LIB RETARD</t>
  </si>
  <si>
    <t>DICLIN 2+0,035MG CX 21 COMP REV</t>
  </si>
  <si>
    <t>MERCK</t>
  </si>
  <si>
    <t>DOLAMIN FLEX 125+5,0MG CX 12 COMP REV</t>
  </si>
  <si>
    <t>DORZAL 20MG/ML SOL OFT FR X 5ML</t>
  </si>
  <si>
    <t>LEGRAND PRESCRIÇÃO</t>
  </si>
  <si>
    <t>DOVE GEL LIMP FACIAL PL OLEOS E ACNEIC 150ML   UNIL %DN:17.00</t>
  </si>
  <si>
    <t>DOVE</t>
  </si>
  <si>
    <t>DOZI 1000MCG C/30 COMP SUB-OUTROS</t>
  </si>
  <si>
    <t>DRAMIN CAPS GEL (CARTELADO) PV</t>
  </si>
  <si>
    <t>DUALGI 200MG+500MG 12CPR</t>
  </si>
  <si>
    <t>DUTAM 0,5+0,4MG CX 30 CAP LIB PROL</t>
  </si>
  <si>
    <t>ADIUM</t>
  </si>
  <si>
    <t>EBASTEL 10MG CX 10 COMP</t>
  </si>
  <si>
    <t>ECOFILM 5MG SOL OFT FR GTS 5ML</t>
  </si>
  <si>
    <t>EDISTRIDE 10MG 30CPR REV</t>
  </si>
  <si>
    <t>EFFACLAR GEL CONCENTRADO 300GR-DEMAIS PROD</t>
  </si>
  <si>
    <t>ELIXIR PAREGORICO 0,05ML/ML SOL OR FR GOT 30ML</t>
  </si>
  <si>
    <t>CATARINENSE PHARMA</t>
  </si>
  <si>
    <t>ENX BUC COLGATE PERIOG EXTRA MINT 250ML</t>
  </si>
  <si>
    <t>COLGATE PALMOLIVE</t>
  </si>
  <si>
    <t>EPAREMA FLACONETES 10ML X 4</t>
  </si>
  <si>
    <t>COSMED</t>
  </si>
  <si>
    <t>EPOCLER SOL ORAL FLACONETE CAIXA C/ 12</t>
  </si>
  <si>
    <t>HYPERA FARMA</t>
  </si>
  <si>
    <t>ETNA 1+2,5+1,5MG CX 20 CAP</t>
  </si>
  <si>
    <t>EUCERIN HYDRO FLUID SUN FPS60 50ML</t>
  </si>
  <si>
    <t>EUTHYROX 75MCG CART 50 COMP</t>
  </si>
  <si>
    <t>EXIMIA FORTALIZE FORTALIZE KERA D FR 30 COMP</t>
  </si>
  <si>
    <t>FQM/MELORA</t>
  </si>
  <si>
    <t>FACOBA 5+1MG/ML SOL OFT FR 5ML-L</t>
  </si>
  <si>
    <t>FEMIBION 1 C/28 COMP-DEMAIS PROD</t>
  </si>
  <si>
    <t>FERROPURUM 20 MG/ML SOL INJ 5 AMP 5ML</t>
  </si>
  <si>
    <t>BLAU FARMACEUTICA</t>
  </si>
  <si>
    <t>FIGATIL 10ML FLACONETE</t>
  </si>
  <si>
    <t>FIRM NIVEA LOCAO Q10 VITC 200ML</t>
  </si>
  <si>
    <t>FISIOGEL AI LOC CREMOSA 100ML</t>
  </si>
  <si>
    <t>FISIOGEL HID PELE SECA 200G-DEMAIS PROD</t>
  </si>
  <si>
    <t>FISIOGEN FERRO FORTE FERRO SUCROSSOMAL</t>
  </si>
  <si>
    <t>ZAMBON</t>
  </si>
  <si>
    <t>FLANAX 275MG CX 20 COMP REV</t>
  </si>
  <si>
    <t>FLANAX 550 MG COM 2CP(CARTELA)</t>
  </si>
  <si>
    <t>BAYER S.A.</t>
  </si>
  <si>
    <t>FLANAX 550MG CX 10 COMP REV</t>
  </si>
  <si>
    <t>FLANAX XR 660MG C/8 COMP REV-REFERENCIA</t>
  </si>
  <si>
    <t>FLANCOX 400MG CX 10 COMP REV</t>
  </si>
  <si>
    <t>FLANCOX 500MG CX 14 COMP REV</t>
  </si>
  <si>
    <t>FLANCOX 600MG CX 14 REV OR</t>
  </si>
  <si>
    <t>FLETOP LOCAO 200ML</t>
  </si>
  <si>
    <t>FLOGORAL CARTELA 4 PAST SB LARANJA</t>
  </si>
  <si>
    <t>FLOGORAL COLUT FR 150ML+CM SB TRADICIONAL</t>
  </si>
  <si>
    <t>FLORATIL 100MG CX 12 CAP</t>
  </si>
  <si>
    <t>FLUIBRON 7,5MG/ML SOL INAL ENV 10 FLAC X 2ML</t>
  </si>
  <si>
    <t>FLUIBRON 7,5MG/ML SOL OR FR X 50ML</t>
  </si>
  <si>
    <t>FLUTINOL 1MG/ML SUS OFT FR 5ML</t>
  </si>
  <si>
    <t>FORFIG 200MG CX 20 CAP</t>
  </si>
  <si>
    <t>FORTEVIRON CX 60 COMP</t>
  </si>
  <si>
    <t>WP LAB.</t>
  </si>
  <si>
    <t>FORTMAGRI 1500MG 60 CPS (BERBERINA+FENO+MOROSIL+CROMO)</t>
  </si>
  <si>
    <t>FORXIGA 10MG 30CPR REV</t>
  </si>
  <si>
    <t>FORXIGA 10MG CX 30 COMP</t>
  </si>
  <si>
    <t>ASTRAZENECA</t>
  </si>
  <si>
    <t>GARDENAL 100MG C/20 COMP (C1)-REFERENCIA</t>
  </si>
  <si>
    <t>SANOFI</t>
  </si>
  <si>
    <t>GARNIER HID FACIAL 85G ANTIMANCHAS</t>
  </si>
  <si>
    <t>GARNIER</t>
  </si>
  <si>
    <t>GARNIER HIDRAT FAC ANTISSINAIS 85G-DEMAIS PROD</t>
  </si>
  <si>
    <t>GESTINOL 0,075+0,030MG CX 28 COMP REV</t>
  </si>
  <si>
    <t>GINO CANESTEN 1 500MG 1COMP+APL-REFERENCIA</t>
  </si>
  <si>
    <t>GINO CANESTEN 20 MG/G CREME VAG BG 20G+3APLIC</t>
  </si>
  <si>
    <t>GINO CANESTEN PURO CUIDADO 200ML-DEMAIS PROD</t>
  </si>
  <si>
    <t>GINO CANESTEN TRI CUIDADO 200ML-DEMAIS PROD</t>
  </si>
  <si>
    <t>GLIFAGE XR 850MG CX 30 COMP LIB PROL</t>
  </si>
  <si>
    <t>GLYCOLIC BRIGHT CLEANSER 150G-DEMAIS PROD</t>
  </si>
  <si>
    <t>GROW CALCIO 150ML + SER DOS</t>
  </si>
  <si>
    <t>CIFARMA CIENTIFICA FARMACEUTICA</t>
  </si>
  <si>
    <t>GROW D 10ML-DEMAIS PROD</t>
  </si>
  <si>
    <t>CIFARMA</t>
  </si>
  <si>
    <t>GROW VIT BB C/20ML (CFE)</t>
  </si>
  <si>
    <t>HIDRAFEMME GEL 24G C/ 8 APLIC</t>
  </si>
  <si>
    <t>HIDRAT NIVEA ANTIC PERNAS RENOV 400ML   NIVE %DN:2.00</t>
  </si>
  <si>
    <t>HIPOGLOS AMENDOAS 40G</t>
  </si>
  <si>
    <t>JOHNSON    JOHNSON</t>
  </si>
  <si>
    <t>HIPOGLOS ORIGINAL 40G</t>
  </si>
  <si>
    <t>HIRUDOID 5MG/G POM BG X 40G</t>
  </si>
  <si>
    <t>DAIICHI SANKYO</t>
  </si>
  <si>
    <t>ICADEN 10MG/G CREM DERM BG 20G</t>
  </si>
  <si>
    <t>IMOLAC 120ML</t>
  </si>
  <si>
    <t>IMOLAC SOL C/200ML+COP (CFE)</t>
  </si>
  <si>
    <t>IMOSEC 2MG CX 12 COMP</t>
  </si>
  <si>
    <t>INILOK 40MG CX 30 COMP</t>
  </si>
  <si>
    <t>IUMI 3+0,02MG CX 24 COMP REV</t>
  </si>
  <si>
    <t>IUMI 3/0,02MG CAIXA C/ 3 CARTELAS 24 COMP REV</t>
  </si>
  <si>
    <t>KETTO 10MG FR 10 COMP</t>
  </si>
  <si>
    <t>KIT ACTINE GEL 140G+ACTINE GEL 40G</t>
  </si>
  <si>
    <t>LABORATORIOS PIERRE</t>
  </si>
  <si>
    <t>KIT MEDIDOR DE GLICOSE G-TECH FREE 1</t>
  </si>
  <si>
    <t>KIT MEDIDOR DE GLICOSE LITE - COMPLETO</t>
  </si>
  <si>
    <t>KOIDE D 0,25MG/5ML+2 MG/5ML XPE FR 120ML+CP MED</t>
  </si>
  <si>
    <t>LABIAL NIVEA CEREJA SHINE 4,8G</t>
  </si>
  <si>
    <t>LABIAL NIVEA ROSA PINK 4,8G</t>
  </si>
  <si>
    <t>LABIAL NIVEA SUN 4,8G</t>
  </si>
  <si>
    <t>LABIRIN 24MG CX 30 COMP</t>
  </si>
  <si>
    <t>LACTULONA 667MG/ML XPE FR 120ML SB AMEIXA</t>
  </si>
  <si>
    <t>LAKESIA GENOMMA CAIXA 30ML SOLUÇÃO ANTIMICÓTICA</t>
  </si>
  <si>
    <t>LANCETAS PARA LANCETADOR 30G C/50 UND</t>
  </si>
  <si>
    <t>LARC 500MG C/14 COMP-SIMILAR</t>
  </si>
  <si>
    <t>LARC 600MG C/14 COMP REV-SIMILAR</t>
  </si>
  <si>
    <t>LEGALON 64MG/5ML SUS OR FR 100ML</t>
  </si>
  <si>
    <t>VIATRIS</t>
  </si>
  <si>
    <t>LEITE DE MAGNESIA PHILLIPS HORT 120ML</t>
  </si>
  <si>
    <t>LEITE MAGNESIA PHIL C/120ML</t>
  </si>
  <si>
    <t>LEITE MAGNESIA PHILL 350ML</t>
  </si>
  <si>
    <t>LEUCOGEN 20MG/5ML XPE FR 120ML</t>
  </si>
  <si>
    <t>LEVOID 50MCG CX 30 COMP</t>
  </si>
  <si>
    <t>LIPIKAR BAUME LIGHT AP+M 400ML-DEMAIS PROD</t>
  </si>
  <si>
    <t>LOC NIVEA DEO HIDRA DERMA CARE 200ML</t>
  </si>
  <si>
    <t>LONIUM 40MG CX 30 COMP REV</t>
  </si>
  <si>
    <t>LUNAH 2MG/ML SOL OFT FR GOT 10ML</t>
  </si>
  <si>
    <t>MAGNESIA BISURADA 63,7+521+67+3,3MG(CARTELA)</t>
  </si>
  <si>
    <t>ASPEN PHARMA</t>
  </si>
  <si>
    <t>MALVATRICIN 0,1+1MG/ML SOL TOP FR 250ML</t>
  </si>
  <si>
    <t>MALVATRICIN HA FRESH MENTA 30ML-DEMAIS PROD</t>
  </si>
  <si>
    <t>MALVATRIKIDS BABY CR DEN S/FLUOR 70G</t>
  </si>
  <si>
    <t>MALVATRIKIDS F 85G GRATIS 15G-DEMAIS PROD</t>
  </si>
  <si>
    <t>MALVATRIKIDS JUNIOR GEL DENT 85G</t>
  </si>
  <si>
    <t>MALVATRIKIDS-F CR DEN C/FLUOR 70GR</t>
  </si>
  <si>
    <t>MALVONA 0,2+60MG/ML SOL TOP FR 100ML</t>
  </si>
  <si>
    <t>MALVONA PROPOLIS SPRAY 30ML</t>
  </si>
  <si>
    <t>MAQ SENIOR PREMIUM 30CPR-DEMAIS PROD</t>
  </si>
  <si>
    <t>MARESIS (N.S.) BABY SOL SPRAY FR 100ML</t>
  </si>
  <si>
    <t>MARESIS (N.S.) BABY SOL SPRAY FR 150ML</t>
  </si>
  <si>
    <t>MARESIS FLEX 1,08G KIT FR+15SACH   FQM %DN:15.00</t>
  </si>
  <si>
    <t>MARESIS FLEX 2,16G KIT FR+30SACH   FQM %DN:15.00</t>
  </si>
  <si>
    <t>MAREVAN 5MG CX 30 COMP</t>
  </si>
  <si>
    <t>MATERNA DHA 30CAP</t>
  </si>
  <si>
    <t>MATERNA SUPL MV DHA 30 CAPS-DEMAIS PROD</t>
  </si>
  <si>
    <t>MAXIDEX 1MG/ML SUS OFT FR GTS 5ML</t>
  </si>
  <si>
    <t>MAXIMUS A-Z C/30CP (CFE)</t>
  </si>
  <si>
    <t>MAXITROL 1+5MG+6MUI SUS OFT FR GTS 5ML</t>
  </si>
  <si>
    <t>MECLIN 25MG CX 15 COMP</t>
  </si>
  <si>
    <t>MECLIN 50MG CX 15 COMP</t>
  </si>
  <si>
    <t>MEGA DAY JUNIOR XPE FR 240ML</t>
  </si>
  <si>
    <t>MELAGRIAO SPRAY - MENTA - 30ML-DEMAIS PROD</t>
  </si>
  <si>
    <t>MELAGRIAO SPRAY 30ML EXTRA FORTE</t>
  </si>
  <si>
    <t>MELAGRIAO SPRAY LIMÃO 30ML</t>
  </si>
  <si>
    <t>MELAGRIÃO EXPECTORANTE CATARINENSE 150ML</t>
  </si>
  <si>
    <t>MELOCOX ODT 15MG CX 10 COMP ORODISP</t>
  </si>
  <si>
    <t>MERITOR 4+1000MG CX 30 COMP REV</t>
  </si>
  <si>
    <t>MESIGYNA 50+5MG/ML C/1 SER PR+AG-REFERENCIA</t>
  </si>
  <si>
    <t>METAMUCIL 0,562G PO PREP 10 ENV X 1 SACHE SB LARANJA</t>
  </si>
  <si>
    <t>METAMUCIL SOLUVEL LARANJA 174G-OUTROS</t>
  </si>
  <si>
    <t>MIGRALIV CX 12 COMP</t>
  </si>
  <si>
    <t>MILMUNE CONCENTRADO 120ML</t>
  </si>
  <si>
    <t>ECOFITUS</t>
  </si>
  <si>
    <t>MILMUNE CONCENTRADO 30CP</t>
  </si>
  <si>
    <t>MINILAX 714,0+7,70MG/G SOL RET CAIXA C/ 7</t>
  </si>
  <si>
    <t>MIOSAN 10MG CX 10 COMP REV</t>
  </si>
  <si>
    <t>MIOSAN 5MG CX 10 COMP REV</t>
  </si>
  <si>
    <t>MIOSAN CAF 10+60MG CX 15 COMP REV</t>
  </si>
  <si>
    <t>MONOCORDIL 20MG CX 30 COMP</t>
  </si>
  <si>
    <t>BALDACCI</t>
  </si>
  <si>
    <t>MONOCORDIL 40MG CX 30 COMP</t>
  </si>
  <si>
    <t>MONURIL 5,631G GRAN ENV 8G</t>
  </si>
  <si>
    <t>MOTILIUM 10MG CX 30 COMP</t>
  </si>
  <si>
    <t>MUSCULARE 10MG CX 15 COMP REV</t>
  </si>
  <si>
    <t>MUSCULARE 5MG CX 15 COMP</t>
  </si>
  <si>
    <t>MUVINLAX CX 20 SACH X 14G</t>
  </si>
  <si>
    <t>MYLANTA PLUS 80+80+6MG SUS OR FR 240ML SB MORANGO</t>
  </si>
  <si>
    <t>JANSSEN-CILAG</t>
  </si>
  <si>
    <t>MYLANTA PLUS 80+80+6MG/ML SUS OR FR 240ML SB MENTA</t>
  </si>
  <si>
    <t>N ACCU-CHEK ACTIVE 10TIRAS   ROCH %DN:0.00</t>
  </si>
  <si>
    <t>ACCORD FARMACEUTICA</t>
  </si>
  <si>
    <t>NACTALI 75MCG CAIXA C/ 3 CARTELAS C/21</t>
  </si>
  <si>
    <t>NALDECON MULTI 800+20MG CARTELA C/ 4 CP</t>
  </si>
  <si>
    <t>RECKITT BENCKISER</t>
  </si>
  <si>
    <t>NANTHELIOS LRP ULTRA COVER FPS60 COR3.0 30G</t>
  </si>
  <si>
    <t>NATIFA PRO 1+0,5MG CX 28 COMP REV</t>
  </si>
  <si>
    <t>NEOS MINESOL COR/ROS FPS70 120ML</t>
  </si>
  <si>
    <t>KENVER</t>
  </si>
  <si>
    <t>NEOS MINESOL COR/ROS FPS99 200ML</t>
  </si>
  <si>
    <t>NEOVITE MAX 30CAP BLPA</t>
  </si>
  <si>
    <t>NEOVLAR 0,25+0,05MG CX 21 COMP REV</t>
  </si>
  <si>
    <t>UNIAO QUIMICA FARMACEUTICA</t>
  </si>
  <si>
    <t>NESTLE MATERNA FR 30 COMP</t>
  </si>
  <si>
    <t>NEUT SUN FRESH FPS30 SPR 180ML</t>
  </si>
  <si>
    <t>NEUT SUN FRESH FPS90 200ML</t>
  </si>
  <si>
    <t>NEUTROFER 150MG FR 30 COMP</t>
  </si>
  <si>
    <t>NEUTROFER 300MG FR 30 COMP</t>
  </si>
  <si>
    <t>NEUTROFER 500MG FR 30 COMP</t>
  </si>
  <si>
    <t>NEUTROFER COLINA DHA C/60 CAPS-DEMAIS PROD</t>
  </si>
  <si>
    <t>NEUTROG HIDRATA &amp; REPARA 200ML</t>
  </si>
  <si>
    <t>NIVEA VISAGE CELLULLAR LIFT EXPERT DIA SPF 30 50GRS</t>
  </si>
  <si>
    <t>NIVEA VISAGE CELLULLAR LIFT EXPERT NOITE 48GRS</t>
  </si>
  <si>
    <t>NIVUX 100+20MG CX 12 COMP</t>
  </si>
  <si>
    <t>NOEX 32MCG SUS NAS FR 120 DOS</t>
  </si>
  <si>
    <t>NOPLAK SEM ALCOOL SOLUCAO 250ML</t>
  </si>
  <si>
    <t>NOPLAK SOL 250ML</t>
  </si>
  <si>
    <t>NORIPURUM 100+0,35MG CX 30 COMP MAST</t>
  </si>
  <si>
    <t>BLANVER</t>
  </si>
  <si>
    <t>NORIPURUM 100MG CX 30 COMP MAST</t>
  </si>
  <si>
    <t>NORIPURUM 50MG/ML SOL OR FR GOT 30ML</t>
  </si>
  <si>
    <t>NORIPURUM ENDOV INJ 5 AMP X 5ML</t>
  </si>
  <si>
    <t>NOVOCILIN 875MG CX 14 COMP</t>
  </si>
  <si>
    <t>NUTREN MULTI A-Z 30CAPS SOFTGEL</t>
  </si>
  <si>
    <t>OESTROGEL PUMP 0,6MG/G GEL TB 80G+VAL DOS</t>
  </si>
  <si>
    <t>BESINS HEALTHCARE BRASIL</t>
  </si>
  <si>
    <t>OLIGOVIT UP C/ 60 CAPS-DEMAIS PROD</t>
  </si>
  <si>
    <t>OLMY ANLO 20+5MG CX 30 COMP REV</t>
  </si>
  <si>
    <t>OLMY HCT 40+25MG CX 10 COMP REV</t>
  </si>
  <si>
    <t>OMCILON A 1,0MG/G PAS BG 10G</t>
  </si>
  <si>
    <t>OPTIVE FR 10ML</t>
  </si>
  <si>
    <t>ALLERGAN</t>
  </si>
  <si>
    <t>OTO BETNOVATE 1+10+5MG/ML SOL OTO FR GTS 10ML</t>
  </si>
  <si>
    <t>OTO-XILODASE SOL OTO FR 8ML+AMP</t>
  </si>
  <si>
    <t>OTOCIRIAX 2,0MG+10MG/ML CX 5ML</t>
  </si>
  <si>
    <t>OTOSPORIN SOL OTO FR GTS 10ML</t>
  </si>
  <si>
    <t>OXIMETRO DE DEDO LED OXILED1</t>
  </si>
  <si>
    <t>PACO 500MG+30MG CX 12 COMP</t>
  </si>
  <si>
    <t>PACO 500MG+30MG CX 24 COMP</t>
  </si>
  <si>
    <t>PASTILHAS VALDA CLASSIC 24G</t>
  </si>
  <si>
    <t>CANONNE</t>
  </si>
  <si>
    <t>PATANOL S 2MG/ML SOL OFT FR GTS 2,5ML</t>
  </si>
  <si>
    <t>PEDIALYTE MAX COCO 500ML</t>
  </si>
  <si>
    <t>PEDIALYTE MAX SOL OR FR 500ML SB MACA</t>
  </si>
  <si>
    <t>PEDIALYTE MAX SOL OR FR 500ML SB MORANGO</t>
  </si>
  <si>
    <t>PEDIALYTE MAX SOL OR FR 500ML SB UVA</t>
  </si>
  <si>
    <t>PENETRO SPRAY 50ML</t>
  </si>
  <si>
    <t>PERIOGARD S/ALCOOL 250ML</t>
  </si>
  <si>
    <t>PERMESE 5MG/ML+2MG/ML SUS INJ AMP 1ML+SER SIST SEG</t>
  </si>
  <si>
    <t>PIETRA ED 2MG CX 30 COMP REV</t>
  </si>
  <si>
    <t>PLASIL 10MG CX 20 COMP</t>
  </si>
  <si>
    <t>SANOFI/MEDLEY</t>
  </si>
  <si>
    <t>POMADA MINANCORA 20%+0,5%+5% POM DERM BG 30G</t>
  </si>
  <si>
    <t>MINANCORA</t>
  </si>
  <si>
    <t>POSTEC 2,5MG+150UTR POM DERM BG 20G</t>
  </si>
  <si>
    <t>PRENI 11MG/ML SOL OR FR GOT 20ML</t>
  </si>
  <si>
    <t>PRENI 20MG CX 10 COMP</t>
  </si>
  <si>
    <t>PRENI 3MG/ML SOL OR FR 120ML+SER DOS</t>
  </si>
  <si>
    <t>PRENI 3MG/ML SOL OR FR 60ML+SER DOS</t>
  </si>
  <si>
    <t>PRIMERA 0,150+0,020MG CAIXA C/ 3 CARTELAS</t>
  </si>
  <si>
    <t>PRIMOGYNA 2MG CX 28 DRG</t>
  </si>
  <si>
    <t>PROCTAN 25G C/ 10 LUVAS-OUTROS</t>
  </si>
  <si>
    <t>PROCTAN 25G POMADA GENO %DN:0.00</t>
  </si>
  <si>
    <t>PROCTYL POM BG 30G</t>
  </si>
  <si>
    <t>PROFLAM 100MG CX 12 COMP</t>
  </si>
  <si>
    <t>PROHN BL 15 COMP</t>
  </si>
  <si>
    <t>PROLIVE FEMME C/10 CAPS-DEMAIS PROD</t>
  </si>
  <si>
    <t>PROPZINCO SPR MENTA 30ML</t>
  </si>
  <si>
    <t>THEODORO F SOBRAL   CIA</t>
  </si>
  <si>
    <t>PROT LABIAL COLOR VERMELHO 4,8G-DEMAIS PROD</t>
  </si>
  <si>
    <t>PROT NIVEA SOLAR SUN PROT  HIDRAT FPS50 200ML</t>
  </si>
  <si>
    <t>PROT NIVEA SUN FACIAL TOQUE SECO FPS70 40ML</t>
  </si>
  <si>
    <t>PULMICORT 0,25MG SUS NEB CX 5 FR X 2ML</t>
  </si>
  <si>
    <t>PURAN T4 100MCG CX 30 COMP</t>
  </si>
  <si>
    <t>PURAN T4 125MCG CX 30 COMP</t>
  </si>
  <si>
    <t>PURAN T4 150MCG CX 30 COMP</t>
  </si>
  <si>
    <t>PURAN T4 25MCG CX 30 COMP</t>
  </si>
  <si>
    <t>PURAN T4 37,5MCG CX 30 COMP</t>
  </si>
  <si>
    <t>PURAN T4 88MCG CX 30 COMP</t>
  </si>
  <si>
    <t>PV - ASEPXIA SAB LIQ ESFOLIANTE 100ML</t>
  </si>
  <si>
    <t>PV - BRONCHO-VAXOM 3,5MG PO LIOF CX 10 CAP</t>
  </si>
  <si>
    <t>PV - KIT AVENE MAT PERFECT COR FPS60+CLEANANCE 40G</t>
  </si>
  <si>
    <t>PV - LIPIKAR LRP AOX FPS60 200ML</t>
  </si>
  <si>
    <t>PV - OLMY HCT 20+12,5MG CX 10 COMP REV</t>
  </si>
  <si>
    <t>PV - PEROLA 0,075MG CX 28 COMP REV</t>
  </si>
  <si>
    <t>PV - PRIMOGYNA 1MG CX 28 DRG</t>
  </si>
  <si>
    <t>PV - SERUM FAC GARNIER ANTIAC 15ML</t>
  </si>
  <si>
    <t>PV ANTHELIOS LRP XL FPS70 PROTECT 120ML</t>
  </si>
  <si>
    <t>PV CERAVE CR OLHOS 15G</t>
  </si>
  <si>
    <t>PV DERMO REVITALIFT HIALU GEL PREENCH 50ML</t>
  </si>
  <si>
    <t>PV DOVE GEL LIMP FACIAL PL SENS E OLEOS 150ML   UNIL %DN:17.00</t>
  </si>
  <si>
    <t>PV POS SOL CALADRYL GEL 120G</t>
  </si>
  <si>
    <t>CELLERA FARMACEUTICA</t>
  </si>
  <si>
    <t>PV PRELONE 11MG/ML FR GTS 20ML</t>
  </si>
  <si>
    <t>PV PRIMERA 0,150+0,020MG CX 21 COMP</t>
  </si>
  <si>
    <t>PV UMIDITA CALM CR 45G</t>
  </si>
  <si>
    <t>PV- PEROLA 0,075MG (CARTELA) C/28CP</t>
  </si>
  <si>
    <t>PVV - CUTISANOL BABY CREME 120G-DEMAIS PROD</t>
  </si>
  <si>
    <t>PVV - EBASTEL 10MG CX 30 COMP REV</t>
  </si>
  <si>
    <t>PVV - NOVALGINA EFERVESCENTE C/2</t>
  </si>
  <si>
    <t>PVV - TERMOMETRO DIGITAL CLINICO TH1027</t>
  </si>
  <si>
    <t>PYRIDIUM 100MG CX 25 COMP REV</t>
  </si>
  <si>
    <t>PYRIDIUM 200MG CX 18 COMP REV</t>
  </si>
  <si>
    <t>PYVERM 100MG CX 6 COMP REV</t>
  </si>
  <si>
    <t>Q+VITTA AZ 500MG 60CP</t>
  </si>
  <si>
    <t>QVITTA</t>
  </si>
  <si>
    <t>Q+VITTA AZ HOMEM 500MG 60CPS</t>
  </si>
  <si>
    <t>Q+VITTA AZ MULHER 500MG 60CPS</t>
  </si>
  <si>
    <t>Q+VITTA CALCIO MDK 500MG 60CAPS</t>
  </si>
  <si>
    <t>REDOXITOS LARANJA 25 UNIDADES-DEMAIS PROD</t>
  </si>
  <si>
    <t>REDOXON 1G TB 10 COMP EFEV SB LARANJA</t>
  </si>
  <si>
    <t>REDOXON 200MG/ML SOL ORAL FR GTS 20ML</t>
  </si>
  <si>
    <t>REDOXON TRIPLA ACAO 10CP EFERV</t>
  </si>
  <si>
    <t>REGENESIS CX 30 CAP</t>
  </si>
  <si>
    <t>EXELTIS</t>
  </si>
  <si>
    <t>RENU FRESH SOL MULTI PACKON FR 120ML+355ML+EST LENTES</t>
  </si>
  <si>
    <t>BAUSCH &amp; LOMB</t>
  </si>
  <si>
    <t>RENU FRESH SOLUCAO 60ML-DEMAIS PROD</t>
  </si>
  <si>
    <t>REPARIL 10+50MG/G GEL BG 30G</t>
  </si>
  <si>
    <t>RETEMIC 5MG CX 30 COMP</t>
  </si>
  <si>
    <t>SAB NIVEA GEL ACNE CONTROL 150G</t>
  </si>
  <si>
    <t>SABONETE BARRA ENXOFRE ASEPXIA CAIXA 90G</t>
  </si>
  <si>
    <t>SABONETE FACIAL GEL NIVEA EQUI NUT 150G</t>
  </si>
  <si>
    <t>SABONETE LIQUIDO DERMACYD FEMINA FLORAL 200 ML</t>
  </si>
  <si>
    <t>SALONPAS 0,15+0,07G/G GEL BG 20G</t>
  </si>
  <si>
    <t>HISAMITSU</t>
  </si>
  <si>
    <t>SALONPAS 144,0+131,0+28,4MG  CX 2 UNID. ADES TAM GDE</t>
  </si>
  <si>
    <t>SALONPAS 144,0+131,0+28,4MG CX 4 UNID. ADES TAM GDE</t>
  </si>
  <si>
    <t>SALONPAS 36,0MG+33,0MG+7,1MG CX 4 UNID. ADES TAM PEQ</t>
  </si>
  <si>
    <t>SALONPAS GEL-PATCH 12,5MG/G+10MG/G+3MG/G+10MG/G 3 ADES</t>
  </si>
  <si>
    <t>SEKI 3,54MG/ML XPE FR 120ML+CM</t>
  </si>
  <si>
    <t>SELENE 0,035+2MG (CAIXA C/ 3 CARTELAS) C/21</t>
  </si>
  <si>
    <t>SELOZOK 25MG CX 30 COMP</t>
  </si>
  <si>
    <t>SELOZOK 50MG CX 30 COMP</t>
  </si>
  <si>
    <t>SEPURIN 120MG+20ML CX 20 DRG</t>
  </si>
  <si>
    <t>SERUM DOVE CORPO PRO CERAM 380ML</t>
  </si>
  <si>
    <t>SHP TIO NACHO ENGROSSADOR 415ML</t>
  </si>
  <si>
    <t>SIGMA-CLAV BD 400+57MG/5ML SUS ORAL FR 70ML</t>
  </si>
  <si>
    <t>SILIMALON 100+70MG CX 10 COMP REV</t>
  </si>
  <si>
    <t>ZYDUS NIKKHO</t>
  </si>
  <si>
    <t>SIMECO PLUS 120+41,5+7MG/ML SUS FR 240ML</t>
  </si>
  <si>
    <t>SINUSTRAT FR 10ML</t>
  </si>
  <si>
    <t>BIOLAB</t>
  </si>
  <si>
    <t>SLINDA 4MG (CAIXA C/ 3 CARTELAS) C/28 COMP REV</t>
  </si>
  <si>
    <t>SLINDA 4MG CX 24 COMP REV+4 PLACEBOS</t>
  </si>
  <si>
    <t>SOAPEX 1% SAB 80G-DEMAIS PROD</t>
  </si>
  <si>
    <t>SOAPEX SAB 80GR</t>
  </si>
  <si>
    <t>GALDERMA BRASIL</t>
  </si>
  <si>
    <t>SOAPEX SAB CREMO 120ML</t>
  </si>
  <si>
    <t>SOLAR EXPERTISE ANTIOLEO F30 40G-DEMAIS PROD</t>
  </si>
  <si>
    <t>SOMALGIN CARDIO 100MG CX 60 COMP REV</t>
  </si>
  <si>
    <t>SOMALGIN CARDIO 81MG 6 BLT 10 COMP REV-S</t>
  </si>
  <si>
    <t>SONRIDOR RAPID FORTE BLIS 10X4-OUTROS</t>
  </si>
  <si>
    <t>HALEON</t>
  </si>
  <si>
    <t>SORINE (N.S.) 0,1+9,0MG SOL NAS FR 30ML+CGT INF</t>
  </si>
  <si>
    <t>SPIDUFEN 1155MG GRAN SOL CX 10 ENV 3G SB DAMASCO</t>
  </si>
  <si>
    <t>SUCRAFILM 200MG/ML SUSP FR+1SER-SIMILAR</t>
  </si>
  <si>
    <t>SUNMAX INTENSE FPS60 - 60G-DEMAIS PROD</t>
  </si>
  <si>
    <t>SUN PHARMA</t>
  </si>
  <si>
    <t>SUSTRATE 10MG CX 50 COMP</t>
  </si>
  <si>
    <t>SYSTANE COMPLETE FR 10ML</t>
  </si>
  <si>
    <t>SYSTANE ULTRA FCO X10ML</t>
  </si>
  <si>
    <t>TAMISA 0,075+0,020MG CX 21 DRG</t>
  </si>
  <si>
    <t>TAMISA NF 0,075+0,030MG CAIXA C/ 3 CARTELAS COMP REV</t>
  </si>
  <si>
    <t>TAMISA NF 0,075+0,030MG SEM PARAR (CAIXA C/ 3 CARTELAS)</t>
  </si>
  <si>
    <t>TARFIC 0,3MG POM BG 10G</t>
  </si>
  <si>
    <t>TESTE DE GRAVIDEZ CLEARBLUE DIGIT 1UN</t>
  </si>
  <si>
    <t>TIORFAN 100MG CX 9 CAP</t>
  </si>
  <si>
    <t>BAGO</t>
  </si>
  <si>
    <t>TIRA DE TESTE DE GLICOSE C/25 UND FREE 1</t>
  </si>
  <si>
    <t>TIRA DE TESTE DE GLICOSE C/50 UND FREE 1</t>
  </si>
  <si>
    <t>TIRAS P/ MEDIR GLICOSE C/25 LITE</t>
  </si>
  <si>
    <t>TOBREX 3MG SOL OFT FR GTS 5ML</t>
  </si>
  <si>
    <t>TONICO NIVEA AQUA ROSE 200ML</t>
  </si>
  <si>
    <t>TORAGESIC 10MG PEEL OFF CX 10 COMP</t>
  </si>
  <si>
    <t>TORAGESIC 10MG PEEL OFF CX 20 COMP</t>
  </si>
  <si>
    <t>TRANSAMIN 250MG CX 12 COMP</t>
  </si>
  <si>
    <t>TRIVAGEL-N CREME VAG BG 60G+10APLIC</t>
  </si>
  <si>
    <t>MARJAN</t>
  </si>
  <si>
    <t>TROK 20+0,5MG/G CREM DERM BG 10G</t>
  </si>
  <si>
    <t>TROK 20+0,5MG/G CREM DERM BG 30</t>
  </si>
  <si>
    <t>TROK 20+0,5MG/G POM DERM BG 10G</t>
  </si>
  <si>
    <t>TROK-N POM TB 10G</t>
  </si>
  <si>
    <t>TROPINAL CX 20 COMP</t>
  </si>
  <si>
    <t>TYLENOL 200MG SOL OR FR GTS 15ML</t>
  </si>
  <si>
    <t>TYLENOL BEBE 100MG SUS OR FR GTS 15ML+SER DOS</t>
  </si>
  <si>
    <t>TYLENOL SINUS 500+30MG CX 24 COMP REV</t>
  </si>
  <si>
    <t>TYLENOL SINUS 500+30MG CX 36 COMP REV</t>
  </si>
  <si>
    <t>VAGISIL DEO INTIMO FLOR DE PESSEGUEIRO 75ML</t>
  </si>
  <si>
    <t>VALDA FRIENDS MENTA SAC 25G</t>
  </si>
  <si>
    <t>VARICELL PHYTO CX 30 CAP</t>
  </si>
  <si>
    <t>VENCIDO - BRAVAN DUO 320,0+5,0MG CX 30 COMP REV</t>
  </si>
  <si>
    <t>VENCIDO - FEMINIQUE 20 3+0,02MG CX 24 COMP</t>
  </si>
  <si>
    <t>VENCIDO - GEL NIVEA ANTI-CELULIT BYEBYE CEL 201ML</t>
  </si>
  <si>
    <t>VENCIDO - NAIRE 20MG CX 15 COMP</t>
  </si>
  <si>
    <t>VENCIDO - NORDETTE 0,15+0,03MG CARTELA C/21</t>
  </si>
  <si>
    <t>VENCIDO - PV MESACOL 250 MG SUP RET CT BERCO X 15</t>
  </si>
  <si>
    <t>VENTUS 50MCG SUS SPR NAS FR 120 ACIONAMENTOS</t>
  </si>
  <si>
    <t>VENTUS 50MCG SUS SPR NAS FR 60 ACIONAMENTOS</t>
  </si>
  <si>
    <t>VENZER 16MG CX 30 COMP</t>
  </si>
  <si>
    <t>VENZER HCT 16+12,5MG CX 30 COMP</t>
  </si>
  <si>
    <t>VENZER HCT 8+12,5MG CX 30 COMP</t>
  </si>
  <si>
    <t>VI-FERRIN 20+0,333+1,0MCG ELIXIR FR 150ML</t>
  </si>
  <si>
    <t>ELOFAR</t>
  </si>
  <si>
    <t>VI-FERRIN 300+5+15MCG FR 60 COMP REV</t>
  </si>
  <si>
    <t>VICK BABY RUB 12G LATA</t>
  </si>
  <si>
    <t>VICK DROPS MEL C/20 PAST-DEMAIS PROD</t>
  </si>
  <si>
    <t>VICK INALADOR 0.5G DESC NASAL UNID</t>
  </si>
  <si>
    <t>VICK LATINHA 12G</t>
  </si>
  <si>
    <t>PROCTER   GAMBLE</t>
  </si>
  <si>
    <t>VICK PYRENA 500MG CHA MEL E LIMAO 5G - CAIXA</t>
  </si>
  <si>
    <t>VICK VAPORUB 30G POTE</t>
  </si>
  <si>
    <t>VICK XAROPE XAROPE MIEL 100ML</t>
  </si>
  <si>
    <t>VIGAMOX 5MG SUS OFT FR GTS 5ML</t>
  </si>
  <si>
    <t>VIOFTA 0,15% SOL OFT 10ML-DEMAIS PROD</t>
  </si>
  <si>
    <t>LEGRAND</t>
  </si>
  <si>
    <t>VIOFTA 0,40% SOL OFT 10ML-DEMAIS PROD</t>
  </si>
  <si>
    <t>VITACID 0,25MG/G GEL BG 25G</t>
  </si>
  <si>
    <t>THERASKIN</t>
  </si>
  <si>
    <t>VITACID 0,5MG/G CREME DERM BG 25G</t>
  </si>
  <si>
    <t>VITACID XT 1,00MG/G CREME DERM BG 25G</t>
  </si>
  <si>
    <t>VOLTAREN 25MG INJ CX 5AMP X 3ML</t>
  </si>
  <si>
    <t>XAROPE 44 E 1,30+13,30MG/ML XPE FR 120ML</t>
  </si>
  <si>
    <t>XAROPE 44 E 1,30+13,30MG/ML XPE FR 240ML</t>
  </si>
  <si>
    <t>XAROPE VICK 13,3MG/ML XPE FR 120ML</t>
  </si>
  <si>
    <t>ZART 50MG CX 30 COMP REV</t>
  </si>
  <si>
    <t>ZASTAT 20MG COM BLX10</t>
  </si>
  <si>
    <t>ZASTAT 5MG C/20 COMP-SIMILAR</t>
  </si>
  <si>
    <t>BIOSINTETICA</t>
  </si>
  <si>
    <t>ZINA 5MG CX 10 COMP</t>
  </si>
  <si>
    <t>ZIRVIT BABY SUS OR FR 30ML</t>
  </si>
  <si>
    <t>ARESE PHARMA</t>
  </si>
  <si>
    <t>ZIRVIT KIDS SUSP OR FR 100 ML</t>
  </si>
  <si>
    <t>ZYPRED 3+10MG/ML SUS OFT FR GOT 6ML</t>
  </si>
  <si>
    <t>Itens cotados:</t>
  </si>
  <si>
    <t>Total cotado (R$):</t>
  </si>
  <si>
    <t>ESTOQUE - UNIDADES</t>
  </si>
  <si>
    <t>PREÇO DE VENDA</t>
  </si>
  <si>
    <t>DESCONTO</t>
  </si>
  <si>
    <t>PREÇO FINAL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</si>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</sst>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6"/>
      <color rgb="FF1565C0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C62828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1565C0"/>
      </patternFill>
    </fill>
    <fill>
      <patternFill patternType="solid">
        <fgColor rgb="FFF9A825"/>
      </patternFill>
    </fill>
    <fill>
      <patternFill patternType="solid">
        <fgColor rgb="FFF2F6FB"/>
      </patternFill>
    </fill>
    <fill>
      <patternFill patternType="solid">
        <fgColor rgb="FFFF66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3" fillId="0" borderId="1" xfId="0" applyFont="1" applyBorder="1"/>
    <xf numFmtId="4" fontId="3" fillId="0" borderId="1" xfId="0" applyNumberFormat="1" applyFont="1" applyBorder="1"/>
    <xf numFmtId="0" fontId="4" fillId="2" borderId="1" xfId="0" applyFont="1" applyFill="1" applyBorder="1"/>
    <xf numFmtId="0" fontId="3" fillId="2" borderId="1" xfId="0" applyFont="1" applyFill="1" applyBorder="1"/>
    <xf numFmtId="1" fontId="0" fillId="0" borderId="0" xfId="0" applyNumberFormat="1"/>
    <xf numFmtId="9" fontId="0" fillId="0" borderId="0" xfId="2" applyFont="1" applyAlignment="1">
      <alignment horizontal="center"/>
    </xf>
    <xf numFmtId="9" fontId="9" fillId="6" borderId="0" xfId="2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6" borderId="0" xfId="0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44" fontId="9" fillId="6" borderId="0" xfId="1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  <xf numFmtId="1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/>
    <xf numFmtId="4" fontId="4" fillId="2" borderId="2" xfId="0" applyNumberFormat="1" applyFont="1" applyFill="1" applyBorder="1"/>
    <xf numFmtId="1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4" fontId="4" fillId="5" borderId="2" xfId="0" applyNumberFormat="1" applyFont="1" applyFill="1" applyBorder="1"/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4" fontId="4" fillId="0" borderId="2" xfId="0" applyNumberFormat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color rgb="FFC62828"/>
      </font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55"/>
  <sheetViews>
    <sheetView showGridLines="0" tabSelected="1" topLeftCell="B1" workbookViewId="0">
      <pane ySplit="14" topLeftCell="A15" activePane="bottomLeft" state="frozen"/>
      <selection pane="bottomLeft" activeCell="N14" sqref="N14"/>
    </sheetView>
  </sheetViews>
  <sheetFormatPr defaultRowHeight="15" x14ac:dyDescent="0.25"/>
  <cols>
    <col min="1" max="1" width="7" customWidth="1"/>
    <col min="2" max="2" width="11" customWidth="1"/>
    <col min="3" max="3" width="17.85546875" style="10" bestFit="1" customWidth="1"/>
    <col min="4" max="4" width="52" customWidth="1"/>
    <col min="5" max="5" width="22" customWidth="1"/>
    <col min="6" max="6" width="10" customWidth="1"/>
    <col min="7" max="7" width="16" customWidth="1"/>
    <col min="8" max="8" width="13" customWidth="1"/>
    <col min="9" max="9" width="28" customWidth="1"/>
    <col min="10" max="10" width="14" customWidth="1"/>
    <col min="11" max="11" width="20.42578125" style="13" bestFit="1" customWidth="1"/>
    <col min="12" max="12" width="16.42578125" style="15" bestFit="1" customWidth="1"/>
    <col min="13" max="13" width="10.7109375" style="11" bestFit="1" customWidth="1"/>
    <col min="14" max="14" width="12.42578125" style="15" bestFit="1" customWidth="1"/>
    <col min="15" max="15" width="12.140625" style="13" bestFit="1" customWidth="1"/>
  </cols>
  <sheetData>
    <row r="1" spans="1:15" ht="20.25" x14ac:dyDescent="0.3">
      <c r="A1" s="1" t="s">
        <v>0</v>
      </c>
      <c r="C1"/>
    </row>
    <row r="2" spans="1:15" x14ac:dyDescent="0.25">
      <c r="A2" s="2" t="s">
        <v>1</v>
      </c>
      <c r="C2"/>
    </row>
    <row r="3" spans="1:15" x14ac:dyDescent="0.25">
      <c r="C3"/>
    </row>
    <row r="4" spans="1:15" x14ac:dyDescent="0.25">
      <c r="A4" s="3" t="s">
        <v>2</v>
      </c>
      <c r="B4" s="9" t="s">
        <v>3</v>
      </c>
      <c r="C4" s="8"/>
      <c r="D4" s="8"/>
      <c r="F4" s="3" t="s">
        <v>4</v>
      </c>
      <c r="G4" s="8"/>
      <c r="H4" s="8"/>
      <c r="I4" s="8"/>
    </row>
    <row r="5" spans="1:15" x14ac:dyDescent="0.25">
      <c r="A5" s="3" t="s">
        <v>5</v>
      </c>
      <c r="B5" s="8"/>
      <c r="C5" s="8"/>
      <c r="D5" s="8"/>
      <c r="F5" s="3" t="s">
        <v>6</v>
      </c>
      <c r="G5" s="8"/>
      <c r="H5" s="8"/>
      <c r="I5" s="8"/>
    </row>
    <row r="6" spans="1:15" x14ac:dyDescent="0.25">
      <c r="A6" s="3" t="s">
        <v>7</v>
      </c>
      <c r="B6" s="8"/>
      <c r="C6" s="8"/>
      <c r="D6" s="8"/>
      <c r="F6" s="3" t="s">
        <v>8</v>
      </c>
      <c r="G6" s="8"/>
      <c r="H6" s="8"/>
      <c r="I6" s="8"/>
    </row>
    <row r="7" spans="1:15" x14ac:dyDescent="0.25">
      <c r="A7" s="3" t="s">
        <v>9</v>
      </c>
      <c r="B7" s="8"/>
      <c r="C7" s="8"/>
      <c r="D7" s="8"/>
      <c r="F7" s="3" t="s">
        <v>10</v>
      </c>
      <c r="G7" s="8"/>
      <c r="H7" s="8"/>
      <c r="I7" s="8"/>
    </row>
    <row r="8" spans="1:15" x14ac:dyDescent="0.25">
      <c r="C8"/>
    </row>
    <row r="9" spans="1:15" x14ac:dyDescent="0.25">
      <c r="A9" s="4" t="s">
        <v>11</v>
      </c>
      <c r="C9"/>
    </row>
    <row r="10" spans="1:15" x14ac:dyDescent="0.25">
      <c r="A10" s="5" t="s">
        <v>12</v>
      </c>
      <c r="C10"/>
    </row>
    <row r="11" spans="1:15" x14ac:dyDescent="0.25">
      <c r="A11" s="5" t="s">
        <v>13</v>
      </c>
      <c r="C11"/>
    </row>
    <row r="12" spans="1:15" x14ac:dyDescent="0.25">
      <c r="A12" s="5" t="s">
        <v>14</v>
      </c>
      <c r="C12"/>
    </row>
    <row r="13" spans="1:15" x14ac:dyDescent="0.25">
      <c r="C13"/>
    </row>
    <row r="14" spans="1:15" ht="32.1" customHeight="1" x14ac:dyDescent="0.25">
      <c r="A14" s="17" t="s">
        <v>15</v>
      </c>
      <c r="B14" s="17" t="s">
        <v>16</v>
      </c>
      <c r="C14" s="17" t="s">
        <v>17</v>
      </c>
      <c r="D14" s="17" t="s">
        <v>18</v>
      </c>
      <c r="E14" s="17" t="s">
        <v>19</v>
      </c>
      <c r="F14" s="17" t="s">
        <v>20</v>
      </c>
      <c r="G14" s="18" t="s">
        <v>21</v>
      </c>
      <c r="H14" s="18" t="s">
        <v>22</v>
      </c>
      <c r="I14" s="18" t="s">
        <v>23</v>
      </c>
      <c r="J14" s="17" t="s">
        <v>24</v>
      </c>
      <c r="K14" s="14" t="s">
        <v>642</v>
      </c>
      <c r="L14" s="16" t="s">
        <v>643</v>
      </c>
      <c r="M14" s="12" t="s">
        <v>644</v>
      </c>
      <c r="N14" s="16" t="s">
        <v>645</v>
      </c>
      <c r="O14" s="14" t="s">
        <v>646</v>
      </c>
    </row>
    <row r="15" spans="1:15" x14ac:dyDescent="0.25">
      <c r="A15" s="19">
        <v>1</v>
      </c>
      <c r="B15" s="19">
        <v>274461</v>
      </c>
      <c r="C15" s="20">
        <v>7898040320973</v>
      </c>
      <c r="D15" s="21" t="s">
        <v>25</v>
      </c>
      <c r="E15" s="21" t="s">
        <v>26</v>
      </c>
      <c r="F15" s="19">
        <v>5</v>
      </c>
      <c r="G15" s="22"/>
      <c r="H15" s="23"/>
      <c r="I15" s="24"/>
      <c r="J15" s="25" t="str">
        <f t="shared" ref="J15:J78" si="0">IF(G15="","",F15*G15)</f>
        <v/>
      </c>
      <c r="K15" s="26">
        <v>2033</v>
      </c>
      <c r="L15" s="27">
        <v>43.19</v>
      </c>
      <c r="M15" s="28">
        <v>0.03</v>
      </c>
      <c r="N15" s="27">
        <f>L15-(L15*M15)</f>
        <v>41.894300000000001</v>
      </c>
      <c r="O15" s="29">
        <f>N15*F15</f>
        <v>209.47149999999999</v>
      </c>
    </row>
    <row r="16" spans="1:15" x14ac:dyDescent="0.25">
      <c r="A16" s="30">
        <v>2</v>
      </c>
      <c r="B16" s="30">
        <v>25403</v>
      </c>
      <c r="C16" s="31">
        <v>7897211100482</v>
      </c>
      <c r="D16" s="32" t="s">
        <v>27</v>
      </c>
      <c r="E16" s="32"/>
      <c r="F16" s="30">
        <v>4</v>
      </c>
      <c r="G16" s="22"/>
      <c r="H16" s="23"/>
      <c r="I16" s="24"/>
      <c r="J16" s="33" t="str">
        <f t="shared" si="0"/>
        <v/>
      </c>
      <c r="K16" s="34">
        <v>0</v>
      </c>
      <c r="L16" s="27">
        <v>0</v>
      </c>
      <c r="M16" s="28">
        <v>0</v>
      </c>
      <c r="N16" s="27">
        <f t="shared" ref="N16:N79" si="1">L16-(L16*M16)</f>
        <v>0</v>
      </c>
      <c r="O16" s="29">
        <f t="shared" ref="O16:O79" si="2">N16*F16</f>
        <v>0</v>
      </c>
    </row>
    <row r="17" spans="1:15" x14ac:dyDescent="0.25">
      <c r="A17" s="19">
        <v>3</v>
      </c>
      <c r="B17" s="19">
        <v>618411</v>
      </c>
      <c r="C17" s="20">
        <v>3282770153477</v>
      </c>
      <c r="D17" s="21" t="s">
        <v>28</v>
      </c>
      <c r="E17" s="21" t="s">
        <v>29</v>
      </c>
      <c r="F17" s="19">
        <v>7</v>
      </c>
      <c r="G17" s="22"/>
      <c r="H17" s="23"/>
      <c r="I17" s="24"/>
      <c r="J17" s="25" t="str">
        <f t="shared" si="0"/>
        <v/>
      </c>
      <c r="K17" s="26">
        <v>530</v>
      </c>
      <c r="L17" s="27">
        <v>44.06</v>
      </c>
      <c r="M17" s="28">
        <v>0</v>
      </c>
      <c r="N17" s="27">
        <f t="shared" si="1"/>
        <v>44.06</v>
      </c>
      <c r="O17" s="29">
        <f t="shared" si="2"/>
        <v>308.42</v>
      </c>
    </row>
    <row r="18" spans="1:15" x14ac:dyDescent="0.25">
      <c r="A18" s="30">
        <v>4</v>
      </c>
      <c r="B18" s="30">
        <v>621431</v>
      </c>
      <c r="C18" s="31">
        <v>3282770206036</v>
      </c>
      <c r="D18" s="32" t="s">
        <v>30</v>
      </c>
      <c r="E18" s="32" t="s">
        <v>31</v>
      </c>
      <c r="F18" s="30">
        <v>2</v>
      </c>
      <c r="G18" s="22"/>
      <c r="H18" s="23"/>
      <c r="I18" s="24"/>
      <c r="J18" s="33" t="str">
        <f t="shared" si="0"/>
        <v/>
      </c>
      <c r="K18" s="26">
        <v>132</v>
      </c>
      <c r="L18" s="27">
        <v>67.03</v>
      </c>
      <c r="M18" s="28">
        <v>0</v>
      </c>
      <c r="N18" s="27">
        <f t="shared" si="1"/>
        <v>67.03</v>
      </c>
      <c r="O18" s="29">
        <f t="shared" si="2"/>
        <v>134.06</v>
      </c>
    </row>
    <row r="19" spans="1:15" x14ac:dyDescent="0.25">
      <c r="A19" s="19">
        <v>5</v>
      </c>
      <c r="B19" s="19">
        <v>621421</v>
      </c>
      <c r="C19" s="20">
        <v>3282770206050</v>
      </c>
      <c r="D19" s="21" t="s">
        <v>32</v>
      </c>
      <c r="E19" s="21" t="s">
        <v>33</v>
      </c>
      <c r="F19" s="19">
        <v>1</v>
      </c>
      <c r="G19" s="22"/>
      <c r="H19" s="23"/>
      <c r="I19" s="24"/>
      <c r="J19" s="25" t="str">
        <f t="shared" si="0"/>
        <v/>
      </c>
      <c r="K19" s="26">
        <v>49</v>
      </c>
      <c r="L19" s="27">
        <v>67.03</v>
      </c>
      <c r="M19" s="28">
        <v>0</v>
      </c>
      <c r="N19" s="27">
        <f t="shared" si="1"/>
        <v>67.03</v>
      </c>
      <c r="O19" s="29">
        <f t="shared" si="2"/>
        <v>67.03</v>
      </c>
    </row>
    <row r="20" spans="1:15" x14ac:dyDescent="0.25">
      <c r="A20" s="30">
        <v>6</v>
      </c>
      <c r="B20" s="30">
        <v>642771</v>
      </c>
      <c r="C20" s="31">
        <v>7892828001016</v>
      </c>
      <c r="D20" s="32" t="s">
        <v>34</v>
      </c>
      <c r="E20" s="32" t="s">
        <v>35</v>
      </c>
      <c r="F20" s="30">
        <v>8</v>
      </c>
      <c r="G20" s="22"/>
      <c r="H20" s="23"/>
      <c r="I20" s="24"/>
      <c r="J20" s="33" t="str">
        <f t="shared" si="0"/>
        <v/>
      </c>
      <c r="K20" s="26">
        <v>4050</v>
      </c>
      <c r="L20" s="27">
        <v>28</v>
      </c>
      <c r="M20" s="28">
        <v>0.05</v>
      </c>
      <c r="N20" s="27">
        <f t="shared" si="1"/>
        <v>26.6</v>
      </c>
      <c r="O20" s="29">
        <f t="shared" si="2"/>
        <v>212.8</v>
      </c>
    </row>
    <row r="21" spans="1:15" x14ac:dyDescent="0.25">
      <c r="A21" s="19">
        <v>7</v>
      </c>
      <c r="B21" s="19">
        <v>884</v>
      </c>
      <c r="C21" s="20">
        <v>7892828002303</v>
      </c>
      <c r="D21" s="21" t="s">
        <v>36</v>
      </c>
      <c r="E21" s="21" t="s">
        <v>35</v>
      </c>
      <c r="F21" s="19">
        <v>44</v>
      </c>
      <c r="G21" s="22"/>
      <c r="H21" s="23"/>
      <c r="I21" s="24"/>
      <c r="J21" s="25" t="str">
        <f t="shared" si="0"/>
        <v/>
      </c>
      <c r="K21" s="26">
        <v>15621</v>
      </c>
      <c r="L21" s="27">
        <v>44.79</v>
      </c>
      <c r="M21" s="28">
        <v>0.05</v>
      </c>
      <c r="N21" s="27">
        <f t="shared" si="1"/>
        <v>42.5505</v>
      </c>
      <c r="O21" s="29">
        <f t="shared" si="2"/>
        <v>1872.222</v>
      </c>
    </row>
    <row r="22" spans="1:15" x14ac:dyDescent="0.25">
      <c r="A22" s="30">
        <v>8</v>
      </c>
      <c r="B22" s="30">
        <v>453221</v>
      </c>
      <c r="C22" s="31">
        <v>7896269900150</v>
      </c>
      <c r="D22" s="32" t="s">
        <v>37</v>
      </c>
      <c r="E22" s="32" t="s">
        <v>38</v>
      </c>
      <c r="F22" s="30">
        <v>2</v>
      </c>
      <c r="G22" s="22"/>
      <c r="H22" s="23"/>
      <c r="I22" s="24"/>
      <c r="J22" s="33" t="str">
        <f t="shared" si="0"/>
        <v/>
      </c>
      <c r="K22" s="26">
        <v>12720</v>
      </c>
      <c r="L22" s="27">
        <v>19.940000000000001</v>
      </c>
      <c r="M22" s="28">
        <v>0.03</v>
      </c>
      <c r="N22" s="27">
        <f t="shared" si="1"/>
        <v>19.341800000000003</v>
      </c>
      <c r="O22" s="29">
        <f t="shared" si="2"/>
        <v>38.683600000000006</v>
      </c>
    </row>
    <row r="23" spans="1:15" x14ac:dyDescent="0.25">
      <c r="A23" s="19">
        <v>9</v>
      </c>
      <c r="B23" s="19">
        <v>566661</v>
      </c>
      <c r="C23" s="20">
        <v>7891317144166</v>
      </c>
      <c r="D23" s="21" t="s">
        <v>39</v>
      </c>
      <c r="E23" s="21" t="s">
        <v>40</v>
      </c>
      <c r="F23" s="19">
        <v>1</v>
      </c>
      <c r="G23" s="22"/>
      <c r="H23" s="23"/>
      <c r="I23" s="24"/>
      <c r="J23" s="25" t="str">
        <f t="shared" si="0"/>
        <v/>
      </c>
      <c r="K23" s="26">
        <v>126</v>
      </c>
      <c r="L23" s="27">
        <v>52.9</v>
      </c>
      <c r="M23" s="28">
        <v>0.02</v>
      </c>
      <c r="N23" s="27">
        <f t="shared" si="1"/>
        <v>51.841999999999999</v>
      </c>
      <c r="O23" s="29">
        <f t="shared" si="2"/>
        <v>51.841999999999999</v>
      </c>
    </row>
    <row r="24" spans="1:15" x14ac:dyDescent="0.25">
      <c r="A24" s="30">
        <v>10</v>
      </c>
      <c r="B24" s="30">
        <v>650561</v>
      </c>
      <c r="C24" s="31">
        <v>7896658039454</v>
      </c>
      <c r="D24" s="32" t="s">
        <v>41</v>
      </c>
      <c r="E24" s="32" t="s">
        <v>42</v>
      </c>
      <c r="F24" s="30">
        <v>1</v>
      </c>
      <c r="G24" s="22"/>
      <c r="H24" s="23"/>
      <c r="I24" s="24"/>
      <c r="J24" s="33" t="str">
        <f t="shared" si="0"/>
        <v/>
      </c>
      <c r="K24" s="26">
        <v>356</v>
      </c>
      <c r="L24" s="27">
        <v>25.23</v>
      </c>
      <c r="M24" s="28">
        <v>2.5000000000000001E-2</v>
      </c>
      <c r="N24" s="27">
        <f t="shared" si="1"/>
        <v>24.599250000000001</v>
      </c>
      <c r="O24" s="29">
        <f t="shared" si="2"/>
        <v>24.599250000000001</v>
      </c>
    </row>
    <row r="25" spans="1:15" x14ac:dyDescent="0.25">
      <c r="A25" s="19">
        <v>11</v>
      </c>
      <c r="B25" s="19">
        <v>367361</v>
      </c>
      <c r="C25" s="20">
        <v>7891721023965</v>
      </c>
      <c r="D25" s="21" t="s">
        <v>43</v>
      </c>
      <c r="E25" s="21" t="s">
        <v>44</v>
      </c>
      <c r="F25" s="19">
        <v>10</v>
      </c>
      <c r="G25" s="22"/>
      <c r="H25" s="23"/>
      <c r="I25" s="24"/>
      <c r="J25" s="25" t="str">
        <f t="shared" si="0"/>
        <v/>
      </c>
      <c r="K25" s="26">
        <v>1063</v>
      </c>
      <c r="L25" s="27">
        <v>55.54</v>
      </c>
      <c r="M25" s="28">
        <v>0.05</v>
      </c>
      <c r="N25" s="27">
        <f t="shared" si="1"/>
        <v>52.762999999999998</v>
      </c>
      <c r="O25" s="29">
        <f t="shared" si="2"/>
        <v>527.63</v>
      </c>
    </row>
    <row r="26" spans="1:15" x14ac:dyDescent="0.25">
      <c r="A26" s="30">
        <v>12</v>
      </c>
      <c r="B26" s="30">
        <v>367401</v>
      </c>
      <c r="C26" s="31">
        <v>7891721029639</v>
      </c>
      <c r="D26" s="32" t="s">
        <v>45</v>
      </c>
      <c r="E26" s="32" t="s">
        <v>44</v>
      </c>
      <c r="F26" s="30">
        <v>19</v>
      </c>
      <c r="G26" s="22"/>
      <c r="H26" s="23"/>
      <c r="I26" s="24"/>
      <c r="J26" s="33" t="str">
        <f t="shared" si="0"/>
        <v/>
      </c>
      <c r="K26" s="26">
        <v>0</v>
      </c>
      <c r="L26" s="27">
        <v>28.2</v>
      </c>
      <c r="M26" s="28">
        <v>0.05</v>
      </c>
      <c r="N26" s="27">
        <f t="shared" si="1"/>
        <v>26.79</v>
      </c>
      <c r="O26" s="29">
        <f t="shared" si="2"/>
        <v>509.01</v>
      </c>
    </row>
    <row r="27" spans="1:15" x14ac:dyDescent="0.25">
      <c r="A27" s="30">
        <v>13</v>
      </c>
      <c r="B27" s="30">
        <v>367401</v>
      </c>
      <c r="C27" s="31">
        <v>7500435260527</v>
      </c>
      <c r="D27" s="32" t="s">
        <v>45</v>
      </c>
      <c r="E27" s="32" t="s">
        <v>44</v>
      </c>
      <c r="F27" s="30">
        <v>19</v>
      </c>
      <c r="G27" s="22"/>
      <c r="H27" s="23"/>
      <c r="I27" s="24"/>
      <c r="J27" s="33" t="str">
        <f t="shared" si="0"/>
        <v/>
      </c>
      <c r="K27" s="26">
        <v>8428</v>
      </c>
      <c r="L27" s="27">
        <v>28.2</v>
      </c>
      <c r="M27" s="28">
        <v>0.05</v>
      </c>
      <c r="N27" s="27">
        <f t="shared" si="1"/>
        <v>26.79</v>
      </c>
      <c r="O27" s="29">
        <f t="shared" si="2"/>
        <v>509.01</v>
      </c>
    </row>
    <row r="28" spans="1:15" x14ac:dyDescent="0.25">
      <c r="A28" s="19">
        <v>14</v>
      </c>
      <c r="B28" s="19">
        <v>367421</v>
      </c>
      <c r="C28" s="20">
        <v>7891721029646</v>
      </c>
      <c r="D28" s="21" t="s">
        <v>46</v>
      </c>
      <c r="E28" s="21" t="s">
        <v>44</v>
      </c>
      <c r="F28" s="19">
        <v>2</v>
      </c>
      <c r="G28" s="22"/>
      <c r="H28" s="23"/>
      <c r="I28" s="24"/>
      <c r="J28" s="25" t="str">
        <f t="shared" si="0"/>
        <v/>
      </c>
      <c r="K28" s="26">
        <v>0</v>
      </c>
      <c r="L28" s="27">
        <v>56.61</v>
      </c>
      <c r="M28" s="28">
        <v>0.05</v>
      </c>
      <c r="N28" s="27">
        <f t="shared" si="1"/>
        <v>53.779499999999999</v>
      </c>
      <c r="O28" s="29">
        <f t="shared" si="2"/>
        <v>107.559</v>
      </c>
    </row>
    <row r="29" spans="1:15" x14ac:dyDescent="0.25">
      <c r="A29" s="30">
        <v>15</v>
      </c>
      <c r="B29" s="30">
        <v>210641</v>
      </c>
      <c r="C29" s="31">
        <v>7891721008368</v>
      </c>
      <c r="D29" s="32" t="s">
        <v>47</v>
      </c>
      <c r="E29" s="32" t="s">
        <v>44</v>
      </c>
      <c r="F29" s="30">
        <v>2</v>
      </c>
      <c r="G29" s="22"/>
      <c r="H29" s="23"/>
      <c r="I29" s="24"/>
      <c r="J29" s="33" t="str">
        <f t="shared" si="0"/>
        <v/>
      </c>
      <c r="K29" s="26">
        <v>286</v>
      </c>
      <c r="L29" s="27">
        <v>28.04</v>
      </c>
      <c r="M29" s="28">
        <v>0.05</v>
      </c>
      <c r="N29" s="27">
        <f t="shared" si="1"/>
        <v>26.637999999999998</v>
      </c>
      <c r="O29" s="29">
        <f t="shared" si="2"/>
        <v>53.275999999999996</v>
      </c>
    </row>
    <row r="30" spans="1:15" x14ac:dyDescent="0.25">
      <c r="A30" s="19">
        <v>16</v>
      </c>
      <c r="B30" s="19">
        <v>295401</v>
      </c>
      <c r="C30" s="20">
        <v>7891142982407</v>
      </c>
      <c r="D30" s="21" t="s">
        <v>48</v>
      </c>
      <c r="E30" s="21" t="s">
        <v>49</v>
      </c>
      <c r="F30" s="19">
        <v>1</v>
      </c>
      <c r="G30" s="22"/>
      <c r="H30" s="23"/>
      <c r="I30" s="24"/>
      <c r="J30" s="25" t="str">
        <f t="shared" si="0"/>
        <v/>
      </c>
      <c r="K30" s="26">
        <v>110</v>
      </c>
      <c r="L30" s="27">
        <v>25.27</v>
      </c>
      <c r="M30" s="28">
        <v>1.4999999999999999E-2</v>
      </c>
      <c r="N30" s="27">
        <f t="shared" si="1"/>
        <v>24.89095</v>
      </c>
      <c r="O30" s="29">
        <f t="shared" si="2"/>
        <v>24.89095</v>
      </c>
    </row>
    <row r="31" spans="1:15" x14ac:dyDescent="0.25">
      <c r="A31" s="30">
        <v>17</v>
      </c>
      <c r="B31" s="30">
        <v>5261</v>
      </c>
      <c r="C31" s="31">
        <v>7891317004040</v>
      </c>
      <c r="D31" s="32" t="s">
        <v>50</v>
      </c>
      <c r="E31" s="32" t="s">
        <v>40</v>
      </c>
      <c r="F31" s="30">
        <v>4</v>
      </c>
      <c r="G31" s="22"/>
      <c r="H31" s="23"/>
      <c r="I31" s="24"/>
      <c r="J31" s="33" t="str">
        <f t="shared" si="0"/>
        <v/>
      </c>
      <c r="K31" s="26">
        <v>42</v>
      </c>
      <c r="L31" s="27">
        <v>37.64</v>
      </c>
      <c r="M31" s="28">
        <v>0.02</v>
      </c>
      <c r="N31" s="27">
        <f t="shared" si="1"/>
        <v>36.8872</v>
      </c>
      <c r="O31" s="29">
        <f t="shared" si="2"/>
        <v>147.5488</v>
      </c>
    </row>
    <row r="32" spans="1:15" x14ac:dyDescent="0.25">
      <c r="A32" s="19">
        <v>18</v>
      </c>
      <c r="B32" s="19">
        <v>71981</v>
      </c>
      <c r="C32" s="20">
        <v>7896676414639</v>
      </c>
      <c r="D32" s="21" t="s">
        <v>51</v>
      </c>
      <c r="E32" s="21" t="s">
        <v>52</v>
      </c>
      <c r="F32" s="19">
        <v>1</v>
      </c>
      <c r="G32" s="22"/>
      <c r="H32" s="23"/>
      <c r="I32" s="24"/>
      <c r="J32" s="25" t="str">
        <f t="shared" si="0"/>
        <v/>
      </c>
      <c r="K32" s="34">
        <v>0</v>
      </c>
      <c r="L32" s="27">
        <v>0</v>
      </c>
      <c r="M32" s="28">
        <v>0</v>
      </c>
      <c r="N32" s="27">
        <f t="shared" si="1"/>
        <v>0</v>
      </c>
      <c r="O32" s="29">
        <f t="shared" si="2"/>
        <v>0</v>
      </c>
    </row>
    <row r="33" spans="1:15" x14ac:dyDescent="0.25">
      <c r="A33" s="30">
        <v>19</v>
      </c>
      <c r="B33" s="30">
        <v>124481</v>
      </c>
      <c r="C33" s="31">
        <v>7896094207851</v>
      </c>
      <c r="D33" s="32" t="s">
        <v>53</v>
      </c>
      <c r="E33" s="32" t="s">
        <v>54</v>
      </c>
      <c r="F33" s="30">
        <v>1</v>
      </c>
      <c r="G33" s="22"/>
      <c r="H33" s="23"/>
      <c r="I33" s="24"/>
      <c r="J33" s="33" t="str">
        <f t="shared" si="0"/>
        <v/>
      </c>
      <c r="K33" s="26">
        <v>497</v>
      </c>
      <c r="L33" s="27">
        <v>49.77</v>
      </c>
      <c r="M33" s="28">
        <v>0.01</v>
      </c>
      <c r="N33" s="27">
        <f t="shared" si="1"/>
        <v>49.272300000000001</v>
      </c>
      <c r="O33" s="29">
        <f t="shared" si="2"/>
        <v>49.272300000000001</v>
      </c>
    </row>
    <row r="34" spans="1:15" x14ac:dyDescent="0.25">
      <c r="A34" s="19">
        <v>20</v>
      </c>
      <c r="B34" s="19">
        <v>469661</v>
      </c>
      <c r="C34" s="20">
        <v>7891317013967</v>
      </c>
      <c r="D34" s="21" t="s">
        <v>55</v>
      </c>
      <c r="E34" s="21" t="s">
        <v>56</v>
      </c>
      <c r="F34" s="19">
        <v>2</v>
      </c>
      <c r="G34" s="22"/>
      <c r="H34" s="23"/>
      <c r="I34" s="24"/>
      <c r="J34" s="25" t="str">
        <f t="shared" si="0"/>
        <v/>
      </c>
      <c r="K34" s="34">
        <v>0</v>
      </c>
      <c r="L34" s="27">
        <v>0</v>
      </c>
      <c r="M34" s="28">
        <v>0</v>
      </c>
      <c r="N34" s="27">
        <f t="shared" si="1"/>
        <v>0</v>
      </c>
      <c r="O34" s="29">
        <f t="shared" si="2"/>
        <v>0</v>
      </c>
    </row>
    <row r="35" spans="1:15" x14ac:dyDescent="0.25">
      <c r="A35" s="30">
        <v>21</v>
      </c>
      <c r="B35" s="30">
        <v>25303</v>
      </c>
      <c r="C35" s="31">
        <v>7891317036812</v>
      </c>
      <c r="D35" s="32" t="s">
        <v>57</v>
      </c>
      <c r="E35" s="32" t="s">
        <v>56</v>
      </c>
      <c r="F35" s="30">
        <v>2</v>
      </c>
      <c r="G35" s="22"/>
      <c r="H35" s="23"/>
      <c r="I35" s="24"/>
      <c r="J35" s="33" t="str">
        <f t="shared" si="0"/>
        <v/>
      </c>
      <c r="K35" s="26">
        <v>203</v>
      </c>
      <c r="L35" s="27">
        <v>31.93</v>
      </c>
      <c r="M35" s="28">
        <v>0.02</v>
      </c>
      <c r="N35" s="27">
        <f t="shared" si="1"/>
        <v>31.291399999999999</v>
      </c>
      <c r="O35" s="29">
        <f t="shared" si="2"/>
        <v>62.582799999999999</v>
      </c>
    </row>
    <row r="36" spans="1:15" x14ac:dyDescent="0.25">
      <c r="A36" s="19">
        <v>22</v>
      </c>
      <c r="B36" s="19">
        <v>364341</v>
      </c>
      <c r="C36" s="20">
        <v>7898040321505</v>
      </c>
      <c r="D36" s="21" t="s">
        <v>58</v>
      </c>
      <c r="E36" s="21" t="s">
        <v>26</v>
      </c>
      <c r="F36" s="19">
        <v>1</v>
      </c>
      <c r="G36" s="22"/>
      <c r="H36" s="23"/>
      <c r="I36" s="24"/>
      <c r="J36" s="25" t="str">
        <f t="shared" si="0"/>
        <v/>
      </c>
      <c r="K36" s="26">
        <v>774</v>
      </c>
      <c r="L36" s="27">
        <v>58.68</v>
      </c>
      <c r="M36" s="28">
        <v>0.03</v>
      </c>
      <c r="N36" s="27">
        <f t="shared" si="1"/>
        <v>56.919600000000003</v>
      </c>
      <c r="O36" s="29">
        <f t="shared" si="2"/>
        <v>56.919600000000003</v>
      </c>
    </row>
    <row r="37" spans="1:15" x14ac:dyDescent="0.25">
      <c r="A37" s="30">
        <v>23</v>
      </c>
      <c r="B37" s="30">
        <v>364361</v>
      </c>
      <c r="C37" s="31">
        <v>7898040321420</v>
      </c>
      <c r="D37" s="32" t="s">
        <v>59</v>
      </c>
      <c r="E37" s="32" t="s">
        <v>26</v>
      </c>
      <c r="F37" s="30">
        <v>16</v>
      </c>
      <c r="G37" s="22"/>
      <c r="H37" s="23"/>
      <c r="I37" s="24"/>
      <c r="J37" s="33" t="str">
        <f t="shared" si="0"/>
        <v/>
      </c>
      <c r="K37" s="26">
        <v>2520</v>
      </c>
      <c r="L37" s="27">
        <v>25.72</v>
      </c>
      <c r="M37" s="28">
        <v>0.03</v>
      </c>
      <c r="N37" s="27">
        <f t="shared" si="1"/>
        <v>24.948399999999999</v>
      </c>
      <c r="O37" s="29">
        <f t="shared" si="2"/>
        <v>399.17439999999999</v>
      </c>
    </row>
    <row r="38" spans="1:15" x14ac:dyDescent="0.25">
      <c r="A38" s="19">
        <v>24</v>
      </c>
      <c r="B38" s="19">
        <v>364321</v>
      </c>
      <c r="C38" s="20">
        <v>7898040321512</v>
      </c>
      <c r="D38" s="21" t="s">
        <v>60</v>
      </c>
      <c r="E38" s="21" t="s">
        <v>26</v>
      </c>
      <c r="F38" s="19">
        <v>22</v>
      </c>
      <c r="G38" s="22"/>
      <c r="H38" s="23"/>
      <c r="I38" s="24"/>
      <c r="J38" s="25" t="str">
        <f t="shared" si="0"/>
        <v/>
      </c>
      <c r="K38" s="26">
        <v>2760</v>
      </c>
      <c r="L38" s="27">
        <v>64.569999999999993</v>
      </c>
      <c r="M38" s="28">
        <v>0.03</v>
      </c>
      <c r="N38" s="27">
        <f t="shared" si="1"/>
        <v>62.632899999999992</v>
      </c>
      <c r="O38" s="29">
        <f t="shared" si="2"/>
        <v>1377.9237999999998</v>
      </c>
    </row>
    <row r="39" spans="1:15" x14ac:dyDescent="0.25">
      <c r="A39" s="30">
        <v>25</v>
      </c>
      <c r="B39" s="30">
        <v>131861</v>
      </c>
      <c r="C39" s="31">
        <v>7896094200227</v>
      </c>
      <c r="D39" s="32" t="s">
        <v>61</v>
      </c>
      <c r="E39" s="32" t="s">
        <v>54</v>
      </c>
      <c r="F39" s="30">
        <v>1</v>
      </c>
      <c r="G39" s="22"/>
      <c r="H39" s="23"/>
      <c r="I39" s="24"/>
      <c r="J39" s="33" t="str">
        <f t="shared" si="0"/>
        <v/>
      </c>
      <c r="K39" s="34">
        <v>0</v>
      </c>
      <c r="L39" s="27">
        <v>0</v>
      </c>
      <c r="M39" s="28">
        <v>0.01</v>
      </c>
      <c r="N39" s="27">
        <f t="shared" si="1"/>
        <v>0</v>
      </c>
      <c r="O39" s="29">
        <f t="shared" si="2"/>
        <v>0</v>
      </c>
    </row>
    <row r="40" spans="1:15" x14ac:dyDescent="0.25">
      <c r="A40" s="19">
        <v>26</v>
      </c>
      <c r="B40" s="19">
        <v>624171</v>
      </c>
      <c r="C40" s="20">
        <v>7899706195089</v>
      </c>
      <c r="D40" s="21" t="s">
        <v>62</v>
      </c>
      <c r="E40" s="21" t="s">
        <v>63</v>
      </c>
      <c r="F40" s="19">
        <v>1</v>
      </c>
      <c r="G40" s="22"/>
      <c r="H40" s="23"/>
      <c r="I40" s="24"/>
      <c r="J40" s="25" t="str">
        <f t="shared" si="0"/>
        <v/>
      </c>
      <c r="K40" s="34">
        <v>0</v>
      </c>
      <c r="L40" s="27">
        <v>0</v>
      </c>
      <c r="M40" s="28">
        <v>0</v>
      </c>
      <c r="N40" s="27">
        <f t="shared" si="1"/>
        <v>0</v>
      </c>
      <c r="O40" s="29">
        <f t="shared" si="2"/>
        <v>0</v>
      </c>
    </row>
    <row r="41" spans="1:15" x14ac:dyDescent="0.25">
      <c r="A41" s="30">
        <v>27</v>
      </c>
      <c r="B41" s="30">
        <v>618051</v>
      </c>
      <c r="C41" s="31">
        <v>7908615030098</v>
      </c>
      <c r="D41" s="32" t="s">
        <v>64</v>
      </c>
      <c r="E41" s="32" t="s">
        <v>33</v>
      </c>
      <c r="F41" s="30">
        <v>1</v>
      </c>
      <c r="G41" s="22"/>
      <c r="H41" s="23"/>
      <c r="I41" s="24"/>
      <c r="J41" s="33" t="str">
        <f t="shared" si="0"/>
        <v/>
      </c>
      <c r="K41" s="34">
        <v>0</v>
      </c>
      <c r="L41" s="27">
        <v>0</v>
      </c>
      <c r="M41" s="28">
        <v>0</v>
      </c>
      <c r="N41" s="27">
        <f t="shared" si="1"/>
        <v>0</v>
      </c>
      <c r="O41" s="29">
        <f t="shared" si="2"/>
        <v>0</v>
      </c>
    </row>
    <row r="42" spans="1:15" x14ac:dyDescent="0.25">
      <c r="A42" s="19">
        <v>28</v>
      </c>
      <c r="B42" s="19">
        <v>648861</v>
      </c>
      <c r="C42" s="20">
        <v>7908615038384</v>
      </c>
      <c r="D42" s="21" t="s">
        <v>65</v>
      </c>
      <c r="E42" s="21" t="s">
        <v>63</v>
      </c>
      <c r="F42" s="19">
        <v>1</v>
      </c>
      <c r="G42" s="22"/>
      <c r="H42" s="23"/>
      <c r="I42" s="24"/>
      <c r="J42" s="25" t="str">
        <f t="shared" si="0"/>
        <v/>
      </c>
      <c r="K42" s="26">
        <v>0</v>
      </c>
      <c r="L42" s="27">
        <v>110.51</v>
      </c>
      <c r="M42" s="28">
        <v>0</v>
      </c>
      <c r="N42" s="27">
        <f t="shared" si="1"/>
        <v>110.51</v>
      </c>
      <c r="O42" s="29">
        <f t="shared" si="2"/>
        <v>110.51</v>
      </c>
    </row>
    <row r="43" spans="1:15" x14ac:dyDescent="0.25">
      <c r="A43" s="30">
        <v>29</v>
      </c>
      <c r="B43" s="30">
        <v>413621</v>
      </c>
      <c r="C43" s="31">
        <v>7891317490133</v>
      </c>
      <c r="D43" s="32" t="s">
        <v>66</v>
      </c>
      <c r="E43" s="32" t="s">
        <v>40</v>
      </c>
      <c r="F43" s="30">
        <v>1</v>
      </c>
      <c r="G43" s="22"/>
      <c r="H43" s="23"/>
      <c r="I43" s="24"/>
      <c r="J43" s="33" t="str">
        <f t="shared" si="0"/>
        <v/>
      </c>
      <c r="K43" s="26">
        <v>111</v>
      </c>
      <c r="L43" s="27">
        <v>78</v>
      </c>
      <c r="M43" s="28">
        <v>0.02</v>
      </c>
      <c r="N43" s="27">
        <f t="shared" si="1"/>
        <v>76.44</v>
      </c>
      <c r="O43" s="29">
        <f t="shared" si="2"/>
        <v>76.44</v>
      </c>
    </row>
    <row r="44" spans="1:15" x14ac:dyDescent="0.25">
      <c r="A44" s="19">
        <v>30</v>
      </c>
      <c r="B44" s="19">
        <v>666011</v>
      </c>
      <c r="C44" s="20">
        <v>7898639690586</v>
      </c>
      <c r="D44" s="21" t="s">
        <v>67</v>
      </c>
      <c r="E44" s="21" t="s">
        <v>68</v>
      </c>
      <c r="F44" s="19">
        <v>2</v>
      </c>
      <c r="G44" s="22"/>
      <c r="H44" s="23"/>
      <c r="I44" s="24"/>
      <c r="J44" s="25" t="str">
        <f t="shared" si="0"/>
        <v/>
      </c>
      <c r="K44" s="34">
        <v>0</v>
      </c>
      <c r="L44" s="27">
        <v>0</v>
      </c>
      <c r="M44" s="28">
        <v>0</v>
      </c>
      <c r="N44" s="27">
        <f t="shared" si="1"/>
        <v>0</v>
      </c>
      <c r="O44" s="29">
        <f t="shared" si="2"/>
        <v>0</v>
      </c>
    </row>
    <row r="45" spans="1:15" x14ac:dyDescent="0.25">
      <c r="A45" s="30">
        <v>31</v>
      </c>
      <c r="B45" s="30">
        <v>607151</v>
      </c>
      <c r="C45" s="31">
        <v>7898639690388</v>
      </c>
      <c r="D45" s="32" t="s">
        <v>69</v>
      </c>
      <c r="E45" s="32" t="s">
        <v>68</v>
      </c>
      <c r="F45" s="30">
        <v>1</v>
      </c>
      <c r="G45" s="22"/>
      <c r="H45" s="23"/>
      <c r="I45" s="24"/>
      <c r="J45" s="33" t="str">
        <f t="shared" si="0"/>
        <v/>
      </c>
      <c r="K45" s="34">
        <v>0</v>
      </c>
      <c r="L45" s="27">
        <v>0</v>
      </c>
      <c r="M45" s="28">
        <v>0</v>
      </c>
      <c r="N45" s="27">
        <f t="shared" si="1"/>
        <v>0</v>
      </c>
      <c r="O45" s="29">
        <f t="shared" si="2"/>
        <v>0</v>
      </c>
    </row>
    <row r="46" spans="1:15" x14ac:dyDescent="0.25">
      <c r="A46" s="19">
        <v>32</v>
      </c>
      <c r="B46" s="19">
        <v>634561</v>
      </c>
      <c r="C46" s="20">
        <v>7898639690524</v>
      </c>
      <c r="D46" s="21" t="s">
        <v>70</v>
      </c>
      <c r="E46" s="21" t="s">
        <v>68</v>
      </c>
      <c r="F46" s="19">
        <v>4</v>
      </c>
      <c r="G46" s="22"/>
      <c r="H46" s="23"/>
      <c r="I46" s="24"/>
      <c r="J46" s="25" t="str">
        <f t="shared" si="0"/>
        <v/>
      </c>
      <c r="K46" s="34">
        <v>0</v>
      </c>
      <c r="L46" s="27">
        <v>0</v>
      </c>
      <c r="M46" s="28">
        <v>0</v>
      </c>
      <c r="N46" s="27">
        <f t="shared" si="1"/>
        <v>0</v>
      </c>
      <c r="O46" s="29">
        <f t="shared" si="2"/>
        <v>0</v>
      </c>
    </row>
    <row r="47" spans="1:15" x14ac:dyDescent="0.25">
      <c r="A47" s="30">
        <v>33</v>
      </c>
      <c r="B47" s="30">
        <v>149921</v>
      </c>
      <c r="C47" s="31">
        <v>7896261018181</v>
      </c>
      <c r="D47" s="32" t="s">
        <v>71</v>
      </c>
      <c r="E47" s="32" t="s">
        <v>72</v>
      </c>
      <c r="F47" s="30">
        <v>5</v>
      </c>
      <c r="G47" s="22"/>
      <c r="H47" s="23"/>
      <c r="I47" s="24"/>
      <c r="J47" s="33" t="str">
        <f t="shared" si="0"/>
        <v/>
      </c>
      <c r="K47" s="34">
        <v>0</v>
      </c>
      <c r="L47" s="27">
        <v>0</v>
      </c>
      <c r="M47" s="28">
        <v>0</v>
      </c>
      <c r="N47" s="27">
        <f t="shared" si="1"/>
        <v>0</v>
      </c>
      <c r="O47" s="29">
        <f t="shared" si="2"/>
        <v>0</v>
      </c>
    </row>
    <row r="48" spans="1:15" x14ac:dyDescent="0.25">
      <c r="A48" s="30">
        <v>34</v>
      </c>
      <c r="B48" s="30">
        <v>149921</v>
      </c>
      <c r="C48" s="31">
        <v>7896006220534</v>
      </c>
      <c r="D48" s="32" t="s">
        <v>71</v>
      </c>
      <c r="E48" s="32" t="s">
        <v>72</v>
      </c>
      <c r="F48" s="30">
        <v>5</v>
      </c>
      <c r="G48" s="22"/>
      <c r="H48" s="23"/>
      <c r="I48" s="24"/>
      <c r="J48" s="33" t="str">
        <f t="shared" si="0"/>
        <v/>
      </c>
      <c r="K48" s="26">
        <v>695</v>
      </c>
      <c r="L48" s="27">
        <v>7.9</v>
      </c>
      <c r="M48" s="28">
        <v>0.03</v>
      </c>
      <c r="N48" s="27">
        <f t="shared" si="1"/>
        <v>7.6630000000000003</v>
      </c>
      <c r="O48" s="29">
        <f t="shared" si="2"/>
        <v>38.314999999999998</v>
      </c>
    </row>
    <row r="49" spans="1:15" x14ac:dyDescent="0.25">
      <c r="A49" s="19">
        <v>35</v>
      </c>
      <c r="B49" s="19">
        <v>515281</v>
      </c>
      <c r="C49" s="20">
        <v>7896006220527</v>
      </c>
      <c r="D49" s="21" t="s">
        <v>73</v>
      </c>
      <c r="E49" s="21" t="s">
        <v>72</v>
      </c>
      <c r="F49" s="19">
        <v>1</v>
      </c>
      <c r="G49" s="22"/>
      <c r="H49" s="23"/>
      <c r="I49" s="24"/>
      <c r="J49" s="25" t="str">
        <f t="shared" si="0"/>
        <v/>
      </c>
      <c r="K49" s="26">
        <v>85</v>
      </c>
      <c r="L49" s="27">
        <v>23.73</v>
      </c>
      <c r="M49" s="28">
        <v>0.03</v>
      </c>
      <c r="N49" s="27">
        <f t="shared" si="1"/>
        <v>23.0181</v>
      </c>
      <c r="O49" s="29">
        <f t="shared" si="2"/>
        <v>23.0181</v>
      </c>
    </row>
    <row r="50" spans="1:15" x14ac:dyDescent="0.25">
      <c r="A50" s="30">
        <v>36</v>
      </c>
      <c r="B50" s="30">
        <v>149961</v>
      </c>
      <c r="C50" s="31">
        <v>7896261000223</v>
      </c>
      <c r="D50" s="32" t="s">
        <v>74</v>
      </c>
      <c r="E50" s="32" t="s">
        <v>72</v>
      </c>
      <c r="F50" s="30">
        <v>2</v>
      </c>
      <c r="G50" s="22"/>
      <c r="H50" s="23"/>
      <c r="I50" s="24"/>
      <c r="J50" s="33" t="str">
        <f t="shared" si="0"/>
        <v/>
      </c>
      <c r="K50" s="34">
        <v>0</v>
      </c>
      <c r="L50" s="27">
        <v>0</v>
      </c>
      <c r="M50" s="28">
        <v>0</v>
      </c>
      <c r="N50" s="27">
        <f t="shared" si="1"/>
        <v>0</v>
      </c>
      <c r="O50" s="29">
        <f t="shared" si="2"/>
        <v>0</v>
      </c>
    </row>
    <row r="51" spans="1:15" x14ac:dyDescent="0.25">
      <c r="A51" s="30">
        <v>37</v>
      </c>
      <c r="B51" s="30">
        <v>149961</v>
      </c>
      <c r="C51" s="31">
        <v>7896006220510</v>
      </c>
      <c r="D51" s="32" t="s">
        <v>74</v>
      </c>
      <c r="E51" s="32" t="s">
        <v>72</v>
      </c>
      <c r="F51" s="30">
        <v>2</v>
      </c>
      <c r="G51" s="22"/>
      <c r="H51" s="23"/>
      <c r="I51" s="24"/>
      <c r="J51" s="33" t="str">
        <f t="shared" si="0"/>
        <v/>
      </c>
      <c r="K51" s="26">
        <v>944</v>
      </c>
      <c r="L51" s="27">
        <v>10.56</v>
      </c>
      <c r="M51" s="28">
        <v>0.03</v>
      </c>
      <c r="N51" s="27">
        <f t="shared" si="1"/>
        <v>10.2432</v>
      </c>
      <c r="O51" s="29">
        <f t="shared" si="2"/>
        <v>20.4864</v>
      </c>
    </row>
    <row r="52" spans="1:15" x14ac:dyDescent="0.25">
      <c r="A52" s="19">
        <v>38</v>
      </c>
      <c r="B52" s="19">
        <v>241121</v>
      </c>
      <c r="C52" s="20">
        <v>7897337704984</v>
      </c>
      <c r="D52" s="21" t="s">
        <v>75</v>
      </c>
      <c r="E52" s="21" t="s">
        <v>76</v>
      </c>
      <c r="F52" s="19">
        <v>2</v>
      </c>
      <c r="G52" s="22"/>
      <c r="H52" s="23"/>
      <c r="I52" s="24"/>
      <c r="J52" s="25" t="str">
        <f t="shared" si="0"/>
        <v/>
      </c>
      <c r="K52" s="26">
        <v>497</v>
      </c>
      <c r="L52" s="27">
        <v>65.11</v>
      </c>
      <c r="M52" s="28">
        <v>0.03</v>
      </c>
      <c r="N52" s="27">
        <f t="shared" si="1"/>
        <v>63.156700000000001</v>
      </c>
      <c r="O52" s="29">
        <f t="shared" si="2"/>
        <v>126.3134</v>
      </c>
    </row>
    <row r="53" spans="1:15" x14ac:dyDescent="0.25">
      <c r="A53" s="30">
        <v>39</v>
      </c>
      <c r="B53" s="30">
        <v>619611</v>
      </c>
      <c r="C53" s="31">
        <v>7898636190720</v>
      </c>
      <c r="D53" s="32" t="s">
        <v>77</v>
      </c>
      <c r="E53" s="32" t="s">
        <v>78</v>
      </c>
      <c r="F53" s="30">
        <v>1</v>
      </c>
      <c r="G53" s="22"/>
      <c r="H53" s="23"/>
      <c r="I53" s="24"/>
      <c r="J53" s="33" t="str">
        <f t="shared" si="0"/>
        <v/>
      </c>
      <c r="K53" s="34">
        <v>0</v>
      </c>
      <c r="L53" s="27">
        <v>0</v>
      </c>
      <c r="M53" s="28">
        <v>0</v>
      </c>
      <c r="N53" s="27">
        <f t="shared" si="1"/>
        <v>0</v>
      </c>
      <c r="O53" s="29">
        <f t="shared" si="2"/>
        <v>0</v>
      </c>
    </row>
    <row r="54" spans="1:15" x14ac:dyDescent="0.25">
      <c r="A54" s="19">
        <v>40</v>
      </c>
      <c r="B54" s="19">
        <v>13921</v>
      </c>
      <c r="C54" s="20">
        <v>7891106915175</v>
      </c>
      <c r="D54" s="21" t="s">
        <v>79</v>
      </c>
      <c r="E54" s="21" t="s">
        <v>80</v>
      </c>
      <c r="F54" s="19">
        <v>1</v>
      </c>
      <c r="G54" s="22"/>
      <c r="H54" s="23"/>
      <c r="I54" s="24"/>
      <c r="J54" s="25" t="str">
        <f t="shared" si="0"/>
        <v/>
      </c>
      <c r="K54" s="34">
        <v>0</v>
      </c>
      <c r="L54" s="27">
        <v>0</v>
      </c>
      <c r="M54" s="28">
        <v>0</v>
      </c>
      <c r="N54" s="27">
        <f t="shared" si="1"/>
        <v>0</v>
      </c>
      <c r="O54" s="29">
        <f t="shared" si="2"/>
        <v>0</v>
      </c>
    </row>
    <row r="55" spans="1:15" x14ac:dyDescent="0.25">
      <c r="A55" s="30">
        <v>41</v>
      </c>
      <c r="B55" s="30">
        <v>14001</v>
      </c>
      <c r="C55" s="31">
        <v>7891106915151</v>
      </c>
      <c r="D55" s="32" t="s">
        <v>81</v>
      </c>
      <c r="E55" s="32" t="s">
        <v>80</v>
      </c>
      <c r="F55" s="30">
        <v>1</v>
      </c>
      <c r="G55" s="22"/>
      <c r="H55" s="23"/>
      <c r="I55" s="24"/>
      <c r="J55" s="33" t="str">
        <f t="shared" si="0"/>
        <v/>
      </c>
      <c r="K55" s="34">
        <v>0</v>
      </c>
      <c r="L55" s="27">
        <v>0</v>
      </c>
      <c r="M55" s="28">
        <v>0</v>
      </c>
      <c r="N55" s="27">
        <f t="shared" si="1"/>
        <v>0</v>
      </c>
      <c r="O55" s="29">
        <f t="shared" si="2"/>
        <v>0</v>
      </c>
    </row>
    <row r="56" spans="1:15" x14ac:dyDescent="0.25">
      <c r="A56" s="30">
        <v>42</v>
      </c>
      <c r="B56" s="30">
        <v>14001</v>
      </c>
      <c r="C56" s="31">
        <v>7891106000888</v>
      </c>
      <c r="D56" s="32" t="s">
        <v>81</v>
      </c>
      <c r="E56" s="32" t="s">
        <v>80</v>
      </c>
      <c r="F56" s="30">
        <v>1</v>
      </c>
      <c r="G56" s="22"/>
      <c r="H56" s="23"/>
      <c r="I56" s="24"/>
      <c r="J56" s="33" t="str">
        <f t="shared" si="0"/>
        <v/>
      </c>
      <c r="K56" s="26">
        <v>138</v>
      </c>
      <c r="L56" s="27">
        <v>382.61</v>
      </c>
      <c r="M56" s="28">
        <v>2.5000000000000001E-2</v>
      </c>
      <c r="N56" s="27">
        <f t="shared" si="1"/>
        <v>373.04475000000002</v>
      </c>
      <c r="O56" s="29">
        <f t="shared" si="2"/>
        <v>373.04475000000002</v>
      </c>
    </row>
    <row r="57" spans="1:15" x14ac:dyDescent="0.25">
      <c r="A57" s="19">
        <v>43</v>
      </c>
      <c r="B57" s="19">
        <v>594191</v>
      </c>
      <c r="C57" s="20">
        <v>7891317014162</v>
      </c>
      <c r="D57" s="21" t="s">
        <v>82</v>
      </c>
      <c r="E57" s="21" t="s">
        <v>56</v>
      </c>
      <c r="F57" s="19">
        <v>1</v>
      </c>
      <c r="G57" s="22"/>
      <c r="H57" s="23"/>
      <c r="I57" s="24"/>
      <c r="J57" s="25" t="str">
        <f t="shared" si="0"/>
        <v/>
      </c>
      <c r="K57" s="26">
        <v>903</v>
      </c>
      <c r="L57" s="27">
        <v>57.8</v>
      </c>
      <c r="M57" s="28">
        <v>0.02</v>
      </c>
      <c r="N57" s="27">
        <f t="shared" si="1"/>
        <v>56.643999999999998</v>
      </c>
      <c r="O57" s="29">
        <f t="shared" si="2"/>
        <v>56.643999999999998</v>
      </c>
    </row>
    <row r="58" spans="1:15" x14ac:dyDescent="0.25">
      <c r="A58" s="30">
        <v>44</v>
      </c>
      <c r="B58" s="30">
        <v>637931</v>
      </c>
      <c r="C58" s="31">
        <v>7898968453098</v>
      </c>
      <c r="D58" s="32" t="s">
        <v>83</v>
      </c>
      <c r="E58" s="32" t="s">
        <v>84</v>
      </c>
      <c r="F58" s="30">
        <v>1</v>
      </c>
      <c r="G58" s="22"/>
      <c r="H58" s="23"/>
      <c r="I58" s="24"/>
      <c r="J58" s="33" t="str">
        <f t="shared" si="0"/>
        <v/>
      </c>
      <c r="K58" s="26">
        <v>1178</v>
      </c>
      <c r="L58" s="27">
        <v>8.01</v>
      </c>
      <c r="M58" s="28">
        <v>0</v>
      </c>
      <c r="N58" s="27">
        <f t="shared" si="1"/>
        <v>8.01</v>
      </c>
      <c r="O58" s="29">
        <f t="shared" si="2"/>
        <v>8.01</v>
      </c>
    </row>
    <row r="59" spans="1:15" x14ac:dyDescent="0.25">
      <c r="A59" s="19">
        <v>45</v>
      </c>
      <c r="B59" s="19">
        <v>670451</v>
      </c>
      <c r="C59" s="20">
        <v>7896637033947</v>
      </c>
      <c r="D59" s="21" t="s">
        <v>85</v>
      </c>
      <c r="E59" s="21" t="s">
        <v>86</v>
      </c>
      <c r="F59" s="19">
        <v>1</v>
      </c>
      <c r="G59" s="22"/>
      <c r="H59" s="23"/>
      <c r="I59" s="24"/>
      <c r="J59" s="25" t="str">
        <f t="shared" si="0"/>
        <v/>
      </c>
      <c r="K59" s="26">
        <v>1053</v>
      </c>
      <c r="L59" s="27">
        <v>25.96</v>
      </c>
      <c r="M59" s="28">
        <v>1.4999999999999999E-2</v>
      </c>
      <c r="N59" s="27">
        <f t="shared" si="1"/>
        <v>25.570600000000002</v>
      </c>
      <c r="O59" s="29">
        <f t="shared" si="2"/>
        <v>25.570600000000002</v>
      </c>
    </row>
    <row r="60" spans="1:15" x14ac:dyDescent="0.25">
      <c r="A60" s="30">
        <v>46</v>
      </c>
      <c r="B60" s="30">
        <v>582181</v>
      </c>
      <c r="C60" s="31">
        <v>7896026307826</v>
      </c>
      <c r="D60" s="32" t="s">
        <v>87</v>
      </c>
      <c r="E60" s="32" t="s">
        <v>88</v>
      </c>
      <c r="F60" s="30">
        <v>2</v>
      </c>
      <c r="G60" s="22"/>
      <c r="H60" s="23"/>
      <c r="I60" s="24"/>
      <c r="J60" s="33" t="str">
        <f t="shared" si="0"/>
        <v/>
      </c>
      <c r="K60" s="26">
        <v>1219</v>
      </c>
      <c r="L60" s="27">
        <v>23.75</v>
      </c>
      <c r="M60" s="28">
        <v>0.03</v>
      </c>
      <c r="N60" s="27">
        <f t="shared" si="1"/>
        <v>23.037500000000001</v>
      </c>
      <c r="O60" s="29">
        <f t="shared" si="2"/>
        <v>46.075000000000003</v>
      </c>
    </row>
    <row r="61" spans="1:15" x14ac:dyDescent="0.25">
      <c r="A61" s="19">
        <v>47</v>
      </c>
      <c r="B61" s="19">
        <v>488841</v>
      </c>
      <c r="C61" s="20">
        <v>7891317010287</v>
      </c>
      <c r="D61" s="21" t="s">
        <v>89</v>
      </c>
      <c r="E61" s="21" t="s">
        <v>40</v>
      </c>
      <c r="F61" s="19">
        <v>1</v>
      </c>
      <c r="G61" s="22"/>
      <c r="H61" s="23"/>
      <c r="I61" s="24"/>
      <c r="J61" s="25" t="str">
        <f t="shared" si="0"/>
        <v/>
      </c>
      <c r="K61" s="26">
        <v>66</v>
      </c>
      <c r="L61" s="27">
        <v>41.02</v>
      </c>
      <c r="M61" s="28">
        <v>0.02</v>
      </c>
      <c r="N61" s="27">
        <f t="shared" si="1"/>
        <v>40.199600000000004</v>
      </c>
      <c r="O61" s="29">
        <f t="shared" si="2"/>
        <v>40.199600000000004</v>
      </c>
    </row>
    <row r="62" spans="1:15" x14ac:dyDescent="0.25">
      <c r="A62" s="30">
        <v>48</v>
      </c>
      <c r="B62" s="30">
        <v>258201</v>
      </c>
      <c r="C62" s="31">
        <v>7896015518875</v>
      </c>
      <c r="D62" s="32" t="s">
        <v>90</v>
      </c>
      <c r="E62" s="32" t="s">
        <v>38</v>
      </c>
      <c r="F62" s="30">
        <v>5</v>
      </c>
      <c r="G62" s="22"/>
      <c r="H62" s="23"/>
      <c r="I62" s="24"/>
      <c r="J62" s="33" t="str">
        <f t="shared" si="0"/>
        <v/>
      </c>
      <c r="K62" s="26">
        <v>1719</v>
      </c>
      <c r="L62" s="27">
        <v>58.15</v>
      </c>
      <c r="M62" s="28">
        <v>1.4999999999999999E-2</v>
      </c>
      <c r="N62" s="27">
        <f t="shared" si="1"/>
        <v>57.277749999999997</v>
      </c>
      <c r="O62" s="29">
        <f t="shared" si="2"/>
        <v>286.38874999999996</v>
      </c>
    </row>
    <row r="63" spans="1:15" x14ac:dyDescent="0.25">
      <c r="A63" s="19">
        <v>49</v>
      </c>
      <c r="B63" s="19">
        <v>416341</v>
      </c>
      <c r="C63" s="20">
        <v>7896658026195</v>
      </c>
      <c r="D63" s="21" t="s">
        <v>91</v>
      </c>
      <c r="E63" s="21" t="s">
        <v>42</v>
      </c>
      <c r="F63" s="19">
        <v>3</v>
      </c>
      <c r="G63" s="22"/>
      <c r="H63" s="23"/>
      <c r="I63" s="24"/>
      <c r="J63" s="25" t="str">
        <f t="shared" si="0"/>
        <v/>
      </c>
      <c r="K63" s="26">
        <v>2237</v>
      </c>
      <c r="L63" s="27">
        <v>42.95</v>
      </c>
      <c r="M63" s="28">
        <v>0.02</v>
      </c>
      <c r="N63" s="27">
        <f t="shared" si="1"/>
        <v>42.091000000000001</v>
      </c>
      <c r="O63" s="29">
        <f t="shared" si="2"/>
        <v>126.273</v>
      </c>
    </row>
    <row r="64" spans="1:15" x14ac:dyDescent="0.25">
      <c r="A64" s="30">
        <v>50</v>
      </c>
      <c r="B64" s="30">
        <v>15761</v>
      </c>
      <c r="C64" s="31">
        <v>5702191025637</v>
      </c>
      <c r="D64" s="32" t="s">
        <v>92</v>
      </c>
      <c r="E64" s="32" t="s">
        <v>93</v>
      </c>
      <c r="F64" s="30">
        <v>3</v>
      </c>
      <c r="G64" s="22"/>
      <c r="H64" s="23"/>
      <c r="I64" s="24"/>
      <c r="J64" s="33" t="str">
        <f t="shared" si="0"/>
        <v/>
      </c>
      <c r="K64" s="26">
        <v>0</v>
      </c>
      <c r="L64" s="27">
        <v>71.53</v>
      </c>
      <c r="M64" s="28">
        <v>0</v>
      </c>
      <c r="N64" s="27">
        <f t="shared" si="1"/>
        <v>71.53</v>
      </c>
      <c r="O64" s="29">
        <f t="shared" si="2"/>
        <v>214.59</v>
      </c>
    </row>
    <row r="65" spans="1:15" x14ac:dyDescent="0.25">
      <c r="A65" s="19">
        <v>51</v>
      </c>
      <c r="B65" s="19">
        <v>265661</v>
      </c>
      <c r="C65" s="20">
        <v>8902220106079</v>
      </c>
      <c r="D65" s="21" t="s">
        <v>94</v>
      </c>
      <c r="E65" s="21" t="s">
        <v>95</v>
      </c>
      <c r="F65" s="19">
        <v>3</v>
      </c>
      <c r="G65" s="22"/>
      <c r="H65" s="23"/>
      <c r="I65" s="24"/>
      <c r="J65" s="25" t="str">
        <f t="shared" si="0"/>
        <v/>
      </c>
      <c r="K65" s="26">
        <v>1658</v>
      </c>
      <c r="L65" s="27">
        <v>18.63</v>
      </c>
      <c r="M65" s="28">
        <v>0.03</v>
      </c>
      <c r="N65" s="27">
        <f t="shared" si="1"/>
        <v>18.071099999999998</v>
      </c>
      <c r="O65" s="29">
        <f t="shared" si="2"/>
        <v>54.21329999999999</v>
      </c>
    </row>
    <row r="66" spans="1:15" x14ac:dyDescent="0.25">
      <c r="A66" s="30">
        <v>52</v>
      </c>
      <c r="B66" s="30">
        <v>645591</v>
      </c>
      <c r="C66" s="31">
        <v>7898040328603</v>
      </c>
      <c r="D66" s="32" t="s">
        <v>96</v>
      </c>
      <c r="E66" s="32" t="s">
        <v>26</v>
      </c>
      <c r="F66" s="30">
        <v>3</v>
      </c>
      <c r="G66" s="22"/>
      <c r="H66" s="23"/>
      <c r="I66" s="24"/>
      <c r="J66" s="33" t="str">
        <f t="shared" si="0"/>
        <v/>
      </c>
      <c r="K66" s="26">
        <v>1517</v>
      </c>
      <c r="L66" s="27">
        <v>28.9</v>
      </c>
      <c r="M66" s="28">
        <v>0.03</v>
      </c>
      <c r="N66" s="27">
        <f t="shared" si="1"/>
        <v>28.032999999999998</v>
      </c>
      <c r="O66" s="29">
        <f t="shared" si="2"/>
        <v>84.09899999999999</v>
      </c>
    </row>
    <row r="67" spans="1:15" x14ac:dyDescent="0.25">
      <c r="A67" s="19">
        <v>53</v>
      </c>
      <c r="B67" s="19">
        <v>354621</v>
      </c>
      <c r="C67" s="20">
        <v>7896015519834</v>
      </c>
      <c r="D67" s="21" t="s">
        <v>97</v>
      </c>
      <c r="E67" s="21" t="s">
        <v>38</v>
      </c>
      <c r="F67" s="19">
        <v>1</v>
      </c>
      <c r="G67" s="22"/>
      <c r="H67" s="23"/>
      <c r="I67" s="24"/>
      <c r="J67" s="25" t="str">
        <f t="shared" si="0"/>
        <v/>
      </c>
      <c r="K67" s="26">
        <v>764</v>
      </c>
      <c r="L67" s="27">
        <v>41.64</v>
      </c>
      <c r="M67" s="28">
        <v>0.03</v>
      </c>
      <c r="N67" s="27">
        <f t="shared" si="1"/>
        <v>40.390799999999999</v>
      </c>
      <c r="O67" s="29">
        <f t="shared" si="2"/>
        <v>40.390799999999999</v>
      </c>
    </row>
    <row r="68" spans="1:15" x14ac:dyDescent="0.25">
      <c r="A68" s="30">
        <v>54</v>
      </c>
      <c r="B68" s="30">
        <v>114701</v>
      </c>
      <c r="C68" s="31">
        <v>7891010974923</v>
      </c>
      <c r="D68" s="32" t="s">
        <v>98</v>
      </c>
      <c r="E68" s="32" t="s">
        <v>99</v>
      </c>
      <c r="F68" s="30">
        <v>1</v>
      </c>
      <c r="G68" s="22"/>
      <c r="H68" s="23"/>
      <c r="I68" s="24"/>
      <c r="J68" s="33" t="str">
        <f t="shared" si="0"/>
        <v/>
      </c>
      <c r="K68" s="34">
        <v>0</v>
      </c>
      <c r="L68" s="27">
        <v>0</v>
      </c>
      <c r="M68" s="28">
        <v>0</v>
      </c>
      <c r="N68" s="27">
        <f t="shared" si="1"/>
        <v>0</v>
      </c>
      <c r="O68" s="29">
        <f t="shared" si="2"/>
        <v>0</v>
      </c>
    </row>
    <row r="69" spans="1:15" x14ac:dyDescent="0.25">
      <c r="A69" s="30">
        <v>55</v>
      </c>
      <c r="B69" s="30">
        <v>114701</v>
      </c>
      <c r="C69" s="31">
        <v>7891010256685</v>
      </c>
      <c r="D69" s="32" t="s">
        <v>98</v>
      </c>
      <c r="E69" s="32" t="s">
        <v>99</v>
      </c>
      <c r="F69" s="30">
        <v>1</v>
      </c>
      <c r="G69" s="22"/>
      <c r="H69" s="23"/>
      <c r="I69" s="24"/>
      <c r="J69" s="33" t="str">
        <f t="shared" si="0"/>
        <v/>
      </c>
      <c r="K69" s="26">
        <v>266</v>
      </c>
      <c r="L69" s="27">
        <v>162.44</v>
      </c>
      <c r="M69" s="28">
        <v>0</v>
      </c>
      <c r="N69" s="27">
        <f t="shared" si="1"/>
        <v>162.44</v>
      </c>
      <c r="O69" s="29">
        <f t="shared" si="2"/>
        <v>162.44</v>
      </c>
    </row>
    <row r="70" spans="1:15" x14ac:dyDescent="0.25">
      <c r="A70" s="19">
        <v>56</v>
      </c>
      <c r="B70" s="19">
        <v>657751</v>
      </c>
      <c r="C70" s="20">
        <v>7891010256692</v>
      </c>
      <c r="D70" s="21" t="s">
        <v>100</v>
      </c>
      <c r="E70" s="21" t="s">
        <v>99</v>
      </c>
      <c r="F70" s="19">
        <v>1</v>
      </c>
      <c r="G70" s="22"/>
      <c r="H70" s="23"/>
      <c r="I70" s="24"/>
      <c r="J70" s="25" t="str">
        <f t="shared" si="0"/>
        <v/>
      </c>
      <c r="K70" s="26">
        <v>226</v>
      </c>
      <c r="L70" s="27">
        <v>162.44</v>
      </c>
      <c r="M70" s="28">
        <v>0</v>
      </c>
      <c r="N70" s="27">
        <f t="shared" si="1"/>
        <v>162.44</v>
      </c>
      <c r="O70" s="29">
        <f t="shared" si="2"/>
        <v>162.44</v>
      </c>
    </row>
    <row r="71" spans="1:15" x14ac:dyDescent="0.25">
      <c r="A71" s="30">
        <v>57</v>
      </c>
      <c r="B71" s="30">
        <v>497121</v>
      </c>
      <c r="C71" s="31">
        <v>7891268402025</v>
      </c>
      <c r="D71" s="32" t="s">
        <v>101</v>
      </c>
      <c r="E71" s="32" t="s">
        <v>99</v>
      </c>
      <c r="F71" s="30">
        <v>2</v>
      </c>
      <c r="G71" s="22"/>
      <c r="H71" s="23"/>
      <c r="I71" s="24"/>
      <c r="J71" s="33" t="str">
        <f t="shared" si="0"/>
        <v/>
      </c>
      <c r="K71" s="34">
        <v>0</v>
      </c>
      <c r="L71" s="27">
        <v>0</v>
      </c>
      <c r="M71" s="28">
        <v>0</v>
      </c>
      <c r="N71" s="27">
        <f t="shared" si="1"/>
        <v>0</v>
      </c>
      <c r="O71" s="29">
        <f t="shared" si="2"/>
        <v>0</v>
      </c>
    </row>
    <row r="72" spans="1:15" x14ac:dyDescent="0.25">
      <c r="A72" s="19">
        <v>58</v>
      </c>
      <c r="B72" s="19">
        <v>114681</v>
      </c>
      <c r="C72" s="20">
        <v>7891010974930</v>
      </c>
      <c r="D72" s="21" t="s">
        <v>102</v>
      </c>
      <c r="E72" s="21" t="s">
        <v>99</v>
      </c>
      <c r="F72" s="19">
        <v>1</v>
      </c>
      <c r="G72" s="22"/>
      <c r="H72" s="23"/>
      <c r="I72" s="24"/>
      <c r="J72" s="25" t="str">
        <f t="shared" si="0"/>
        <v/>
      </c>
      <c r="K72" s="34">
        <v>0</v>
      </c>
      <c r="L72" s="27">
        <v>0</v>
      </c>
      <c r="M72" s="28">
        <v>0</v>
      </c>
      <c r="N72" s="27">
        <f t="shared" si="1"/>
        <v>0</v>
      </c>
      <c r="O72" s="29">
        <f t="shared" si="2"/>
        <v>0</v>
      </c>
    </row>
    <row r="73" spans="1:15" x14ac:dyDescent="0.25">
      <c r="A73" s="19">
        <v>59</v>
      </c>
      <c r="B73" s="19">
        <v>114681</v>
      </c>
      <c r="C73" s="20">
        <v>7891268402018</v>
      </c>
      <c r="D73" s="21" t="s">
        <v>102</v>
      </c>
      <c r="E73" s="21" t="s">
        <v>99</v>
      </c>
      <c r="F73" s="19">
        <v>1</v>
      </c>
      <c r="G73" s="22"/>
      <c r="H73" s="23"/>
      <c r="I73" s="24"/>
      <c r="J73" s="25" t="str">
        <f t="shared" si="0"/>
        <v/>
      </c>
      <c r="K73" s="34">
        <v>0</v>
      </c>
      <c r="L73" s="27">
        <v>0</v>
      </c>
      <c r="M73" s="28">
        <v>0</v>
      </c>
      <c r="N73" s="27">
        <f t="shared" si="1"/>
        <v>0</v>
      </c>
      <c r="O73" s="29">
        <f t="shared" si="2"/>
        <v>0</v>
      </c>
    </row>
    <row r="74" spans="1:15" x14ac:dyDescent="0.25">
      <c r="A74" s="30">
        <v>60</v>
      </c>
      <c r="B74" s="30">
        <v>180661</v>
      </c>
      <c r="C74" s="31">
        <v>7893454714325</v>
      </c>
      <c r="D74" s="32" t="s">
        <v>103</v>
      </c>
      <c r="E74" s="32" t="s">
        <v>104</v>
      </c>
      <c r="F74" s="30">
        <v>2</v>
      </c>
      <c r="G74" s="22"/>
      <c r="H74" s="23"/>
      <c r="I74" s="24"/>
      <c r="J74" s="33" t="str">
        <f t="shared" si="0"/>
        <v/>
      </c>
      <c r="K74" s="26">
        <v>1422</v>
      </c>
      <c r="L74" s="27">
        <v>26.87</v>
      </c>
      <c r="M74" s="28">
        <v>2.5000000000000001E-2</v>
      </c>
      <c r="N74" s="27">
        <f t="shared" si="1"/>
        <v>26.198250000000002</v>
      </c>
      <c r="O74" s="29">
        <f t="shared" si="2"/>
        <v>52.396500000000003</v>
      </c>
    </row>
    <row r="75" spans="1:15" x14ac:dyDescent="0.25">
      <c r="A75" s="30">
        <v>61</v>
      </c>
      <c r="B75" s="30">
        <v>180661</v>
      </c>
      <c r="C75" s="31">
        <v>7891106006316</v>
      </c>
      <c r="D75" s="32" t="s">
        <v>103</v>
      </c>
      <c r="E75" s="32" t="s">
        <v>104</v>
      </c>
      <c r="F75" s="30">
        <v>2</v>
      </c>
      <c r="G75" s="22"/>
      <c r="H75" s="23"/>
      <c r="I75" s="24"/>
      <c r="J75" s="33" t="str">
        <f t="shared" si="0"/>
        <v/>
      </c>
      <c r="K75" s="34">
        <v>0</v>
      </c>
      <c r="L75" s="27">
        <v>0</v>
      </c>
      <c r="M75" s="28">
        <v>0</v>
      </c>
      <c r="N75" s="27">
        <f t="shared" si="1"/>
        <v>0</v>
      </c>
      <c r="O75" s="29">
        <f t="shared" si="2"/>
        <v>0</v>
      </c>
    </row>
    <row r="76" spans="1:15" x14ac:dyDescent="0.25">
      <c r="A76" s="19">
        <v>62</v>
      </c>
      <c r="B76" s="19">
        <v>49061</v>
      </c>
      <c r="C76" s="20">
        <v>7891317496241</v>
      </c>
      <c r="D76" s="21" t="s">
        <v>105</v>
      </c>
      <c r="E76" s="21" t="s">
        <v>106</v>
      </c>
      <c r="F76" s="19">
        <v>2</v>
      </c>
      <c r="G76" s="22"/>
      <c r="H76" s="23"/>
      <c r="I76" s="24"/>
      <c r="J76" s="25" t="str">
        <f t="shared" si="0"/>
        <v/>
      </c>
      <c r="K76" s="26">
        <v>860</v>
      </c>
      <c r="L76" s="27">
        <v>15.9</v>
      </c>
      <c r="M76" s="28">
        <v>0.02</v>
      </c>
      <c r="N76" s="27">
        <f t="shared" si="1"/>
        <v>15.582000000000001</v>
      </c>
      <c r="O76" s="29">
        <f t="shared" si="2"/>
        <v>31.164000000000001</v>
      </c>
    </row>
    <row r="77" spans="1:15" x14ac:dyDescent="0.25">
      <c r="A77" s="30">
        <v>63</v>
      </c>
      <c r="B77" s="30">
        <v>588821</v>
      </c>
      <c r="C77" s="31">
        <v>7891106912167</v>
      </c>
      <c r="D77" s="32" t="s">
        <v>107</v>
      </c>
      <c r="E77" s="32" t="s">
        <v>80</v>
      </c>
      <c r="F77" s="30">
        <v>18</v>
      </c>
      <c r="G77" s="22"/>
      <c r="H77" s="23"/>
      <c r="I77" s="24"/>
      <c r="J77" s="33" t="str">
        <f t="shared" si="0"/>
        <v/>
      </c>
      <c r="K77" s="26">
        <v>2081</v>
      </c>
      <c r="L77" s="27">
        <v>20.9</v>
      </c>
      <c r="M77" s="28">
        <v>0</v>
      </c>
      <c r="N77" s="27">
        <f t="shared" si="1"/>
        <v>20.9</v>
      </c>
      <c r="O77" s="29">
        <f t="shared" si="2"/>
        <v>376.2</v>
      </c>
    </row>
    <row r="78" spans="1:15" x14ac:dyDescent="0.25">
      <c r="A78" s="19">
        <v>64</v>
      </c>
      <c r="B78" s="19">
        <v>550701</v>
      </c>
      <c r="C78" s="20">
        <v>7891106907286</v>
      </c>
      <c r="D78" s="21" t="s">
        <v>108</v>
      </c>
      <c r="E78" s="21" t="s">
        <v>80</v>
      </c>
      <c r="F78" s="19">
        <v>10</v>
      </c>
      <c r="G78" s="22"/>
      <c r="H78" s="23"/>
      <c r="I78" s="24"/>
      <c r="J78" s="25" t="str">
        <f t="shared" si="0"/>
        <v/>
      </c>
      <c r="K78" s="26">
        <v>789</v>
      </c>
      <c r="L78" s="27">
        <v>34.28</v>
      </c>
      <c r="M78" s="28">
        <v>0</v>
      </c>
      <c r="N78" s="27">
        <f t="shared" si="1"/>
        <v>34.28</v>
      </c>
      <c r="O78" s="29">
        <f t="shared" si="2"/>
        <v>342.8</v>
      </c>
    </row>
    <row r="79" spans="1:15" x14ac:dyDescent="0.25">
      <c r="A79" s="30">
        <v>65</v>
      </c>
      <c r="B79" s="30">
        <v>633011</v>
      </c>
      <c r="C79" s="31">
        <v>7891106911733</v>
      </c>
      <c r="D79" s="32" t="s">
        <v>109</v>
      </c>
      <c r="E79" s="32" t="s">
        <v>80</v>
      </c>
      <c r="F79" s="30">
        <v>2</v>
      </c>
      <c r="G79" s="22"/>
      <c r="H79" s="23"/>
      <c r="I79" s="24"/>
      <c r="J79" s="33" t="str">
        <f t="shared" ref="J79:J142" si="3">IF(G79="","",F79*G79)</f>
        <v/>
      </c>
      <c r="K79" s="26">
        <v>160</v>
      </c>
      <c r="L79" s="27">
        <v>59.36</v>
      </c>
      <c r="M79" s="28">
        <v>0</v>
      </c>
      <c r="N79" s="27">
        <f t="shared" si="1"/>
        <v>59.36</v>
      </c>
      <c r="O79" s="29">
        <f t="shared" si="2"/>
        <v>118.72</v>
      </c>
    </row>
    <row r="80" spans="1:15" x14ac:dyDescent="0.25">
      <c r="A80" s="19">
        <v>66</v>
      </c>
      <c r="B80" s="19">
        <v>666681</v>
      </c>
      <c r="C80" s="20">
        <v>7891106914277</v>
      </c>
      <c r="D80" s="21" t="s">
        <v>110</v>
      </c>
      <c r="E80" s="21" t="s">
        <v>80</v>
      </c>
      <c r="F80" s="19">
        <v>3</v>
      </c>
      <c r="G80" s="22"/>
      <c r="H80" s="23"/>
      <c r="I80" s="24"/>
      <c r="J80" s="25" t="str">
        <f t="shared" si="3"/>
        <v/>
      </c>
      <c r="K80" s="26">
        <v>145</v>
      </c>
      <c r="L80" s="27">
        <v>42.53</v>
      </c>
      <c r="M80" s="28">
        <v>0</v>
      </c>
      <c r="N80" s="27">
        <f t="shared" ref="N80:N143" si="4">L80-(L80*M80)</f>
        <v>42.53</v>
      </c>
      <c r="O80" s="29">
        <f t="shared" ref="O80:O143" si="5">N80*F80</f>
        <v>127.59</v>
      </c>
    </row>
    <row r="81" spans="1:15" x14ac:dyDescent="0.25">
      <c r="A81" s="30">
        <v>67</v>
      </c>
      <c r="B81" s="30">
        <v>666671</v>
      </c>
      <c r="C81" s="31">
        <v>7891106914628</v>
      </c>
      <c r="D81" s="32" t="s">
        <v>111</v>
      </c>
      <c r="E81" s="32" t="s">
        <v>80</v>
      </c>
      <c r="F81" s="30">
        <v>1</v>
      </c>
      <c r="G81" s="22"/>
      <c r="H81" s="23"/>
      <c r="I81" s="24"/>
      <c r="J81" s="33" t="str">
        <f t="shared" si="3"/>
        <v/>
      </c>
      <c r="K81" s="34">
        <v>0</v>
      </c>
      <c r="L81" s="27">
        <v>0</v>
      </c>
      <c r="M81" s="28">
        <v>0</v>
      </c>
      <c r="N81" s="27">
        <f t="shared" si="4"/>
        <v>0</v>
      </c>
      <c r="O81" s="29">
        <f t="shared" si="5"/>
        <v>0</v>
      </c>
    </row>
    <row r="82" spans="1:15" x14ac:dyDescent="0.25">
      <c r="A82" s="19">
        <v>68</v>
      </c>
      <c r="B82" s="19">
        <v>666661</v>
      </c>
      <c r="C82" s="20">
        <v>7891106916578</v>
      </c>
      <c r="D82" s="21" t="s">
        <v>112</v>
      </c>
      <c r="E82" s="21" t="s">
        <v>80</v>
      </c>
      <c r="F82" s="19">
        <v>7</v>
      </c>
      <c r="G82" s="22"/>
      <c r="H82" s="23"/>
      <c r="I82" s="24"/>
      <c r="J82" s="25" t="str">
        <f t="shared" si="3"/>
        <v/>
      </c>
      <c r="K82" s="26">
        <v>1480</v>
      </c>
      <c r="L82" s="27">
        <v>39.29</v>
      </c>
      <c r="M82" s="28">
        <v>0</v>
      </c>
      <c r="N82" s="27">
        <f t="shared" si="4"/>
        <v>39.29</v>
      </c>
      <c r="O82" s="29">
        <f t="shared" si="5"/>
        <v>275.02999999999997</v>
      </c>
    </row>
    <row r="83" spans="1:15" x14ac:dyDescent="0.25">
      <c r="A83" s="30">
        <v>69</v>
      </c>
      <c r="B83" s="30">
        <v>637641</v>
      </c>
      <c r="C83" s="31">
        <v>7891106915878</v>
      </c>
      <c r="D83" s="32" t="s">
        <v>113</v>
      </c>
      <c r="E83" s="32" t="s">
        <v>80</v>
      </c>
      <c r="F83" s="30">
        <v>4</v>
      </c>
      <c r="G83" s="22"/>
      <c r="H83" s="23"/>
      <c r="I83" s="24"/>
      <c r="J83" s="33" t="str">
        <f t="shared" si="3"/>
        <v/>
      </c>
      <c r="K83" s="26">
        <v>0</v>
      </c>
      <c r="L83" s="27">
        <v>33.44</v>
      </c>
      <c r="M83" s="28">
        <v>0</v>
      </c>
      <c r="N83" s="27">
        <f t="shared" si="4"/>
        <v>33.44</v>
      </c>
      <c r="O83" s="29">
        <f t="shared" si="5"/>
        <v>133.76</v>
      </c>
    </row>
    <row r="84" spans="1:15" x14ac:dyDescent="0.25">
      <c r="A84" s="19">
        <v>70</v>
      </c>
      <c r="B84" s="19">
        <v>666701</v>
      </c>
      <c r="C84" s="20">
        <v>7891106916288</v>
      </c>
      <c r="D84" s="21" t="s">
        <v>114</v>
      </c>
      <c r="E84" s="21" t="s">
        <v>80</v>
      </c>
      <c r="F84" s="19">
        <v>2</v>
      </c>
      <c r="G84" s="22"/>
      <c r="H84" s="23"/>
      <c r="I84" s="24"/>
      <c r="J84" s="25" t="str">
        <f t="shared" si="3"/>
        <v/>
      </c>
      <c r="K84" s="34">
        <v>0</v>
      </c>
      <c r="L84" s="27">
        <v>0</v>
      </c>
      <c r="M84" s="28">
        <v>0</v>
      </c>
      <c r="N84" s="27">
        <f t="shared" si="4"/>
        <v>0</v>
      </c>
      <c r="O84" s="29">
        <f t="shared" si="5"/>
        <v>0</v>
      </c>
    </row>
    <row r="85" spans="1:15" x14ac:dyDescent="0.25">
      <c r="A85" s="30">
        <v>71</v>
      </c>
      <c r="B85" s="30">
        <v>666691</v>
      </c>
      <c r="C85" s="31">
        <v>7891106916516</v>
      </c>
      <c r="D85" s="32" t="s">
        <v>115</v>
      </c>
      <c r="E85" s="32" t="s">
        <v>80</v>
      </c>
      <c r="F85" s="30">
        <v>2</v>
      </c>
      <c r="G85" s="22"/>
      <c r="H85" s="23"/>
      <c r="I85" s="24"/>
      <c r="J85" s="33" t="str">
        <f t="shared" si="3"/>
        <v/>
      </c>
      <c r="K85" s="26">
        <v>51</v>
      </c>
      <c r="L85" s="27">
        <v>40.89</v>
      </c>
      <c r="M85" s="28">
        <v>0</v>
      </c>
      <c r="N85" s="27">
        <f t="shared" si="4"/>
        <v>40.89</v>
      </c>
      <c r="O85" s="29">
        <f t="shared" si="5"/>
        <v>81.78</v>
      </c>
    </row>
    <row r="86" spans="1:15" x14ac:dyDescent="0.25">
      <c r="A86" s="19">
        <v>72</v>
      </c>
      <c r="B86" s="19">
        <v>82401</v>
      </c>
      <c r="C86" s="20">
        <v>7896026171182</v>
      </c>
      <c r="D86" s="21" t="s">
        <v>116</v>
      </c>
      <c r="E86" s="21" t="s">
        <v>117</v>
      </c>
      <c r="F86" s="19">
        <v>11</v>
      </c>
      <c r="G86" s="22"/>
      <c r="H86" s="23"/>
      <c r="I86" s="24"/>
      <c r="J86" s="25" t="str">
        <f t="shared" si="3"/>
        <v/>
      </c>
      <c r="K86" s="26">
        <v>973</v>
      </c>
      <c r="L86" s="27">
        <v>19.850000000000001</v>
      </c>
      <c r="M86" s="28">
        <v>0.04</v>
      </c>
      <c r="N86" s="27">
        <f t="shared" si="4"/>
        <v>19.056000000000001</v>
      </c>
      <c r="O86" s="29">
        <f t="shared" si="5"/>
        <v>209.61600000000001</v>
      </c>
    </row>
    <row r="87" spans="1:15" x14ac:dyDescent="0.25">
      <c r="A87" s="30">
        <v>73</v>
      </c>
      <c r="B87" s="30">
        <v>82381</v>
      </c>
      <c r="C87" s="31">
        <v>7896026171199</v>
      </c>
      <c r="D87" s="32" t="s">
        <v>118</v>
      </c>
      <c r="E87" s="32" t="s">
        <v>117</v>
      </c>
      <c r="F87" s="30">
        <v>14</v>
      </c>
      <c r="G87" s="22"/>
      <c r="H87" s="23"/>
      <c r="I87" s="24"/>
      <c r="J87" s="33" t="str">
        <f t="shared" si="3"/>
        <v/>
      </c>
      <c r="K87" s="26">
        <v>1542</v>
      </c>
      <c r="L87" s="27">
        <v>6.4</v>
      </c>
      <c r="M87" s="28">
        <v>0.04</v>
      </c>
      <c r="N87" s="27">
        <f t="shared" si="4"/>
        <v>6.1440000000000001</v>
      </c>
      <c r="O87" s="29">
        <f t="shared" si="5"/>
        <v>86.016000000000005</v>
      </c>
    </row>
    <row r="88" spans="1:15" x14ac:dyDescent="0.25">
      <c r="A88" s="19">
        <v>74</v>
      </c>
      <c r="B88" s="19">
        <v>254101</v>
      </c>
      <c r="C88" s="20">
        <v>7891317103323</v>
      </c>
      <c r="D88" s="21" t="s">
        <v>119</v>
      </c>
      <c r="E88" s="21" t="s">
        <v>40</v>
      </c>
      <c r="F88" s="19">
        <v>26</v>
      </c>
      <c r="G88" s="22"/>
      <c r="H88" s="23"/>
      <c r="I88" s="24"/>
      <c r="J88" s="25" t="str">
        <f t="shared" si="3"/>
        <v/>
      </c>
      <c r="K88" s="26">
        <v>2113</v>
      </c>
      <c r="L88" s="27">
        <v>24.37</v>
      </c>
      <c r="M88" s="28">
        <v>0.02</v>
      </c>
      <c r="N88" s="27">
        <f t="shared" si="4"/>
        <v>23.8826</v>
      </c>
      <c r="O88" s="29">
        <f t="shared" si="5"/>
        <v>620.94759999999997</v>
      </c>
    </row>
    <row r="89" spans="1:15" x14ac:dyDescent="0.25">
      <c r="A89" s="30">
        <v>75</v>
      </c>
      <c r="B89" s="30">
        <v>128081</v>
      </c>
      <c r="C89" s="31">
        <v>7891317478964</v>
      </c>
      <c r="D89" s="32" t="s">
        <v>120</v>
      </c>
      <c r="E89" s="32" t="s">
        <v>40</v>
      </c>
      <c r="F89" s="30">
        <v>2</v>
      </c>
      <c r="G89" s="22"/>
      <c r="H89" s="23"/>
      <c r="I89" s="24"/>
      <c r="J89" s="33" t="str">
        <f t="shared" si="3"/>
        <v/>
      </c>
      <c r="K89" s="26">
        <v>128</v>
      </c>
      <c r="L89" s="27">
        <v>30.6</v>
      </c>
      <c r="M89" s="28">
        <v>0.02</v>
      </c>
      <c r="N89" s="27">
        <f t="shared" si="4"/>
        <v>29.988000000000003</v>
      </c>
      <c r="O89" s="29">
        <f t="shared" si="5"/>
        <v>59.976000000000006</v>
      </c>
    </row>
    <row r="90" spans="1:15" x14ac:dyDescent="0.25">
      <c r="A90" s="19">
        <v>76</v>
      </c>
      <c r="B90" s="19">
        <v>593551</v>
      </c>
      <c r="C90" s="20">
        <v>7894916517461</v>
      </c>
      <c r="D90" s="21" t="s">
        <v>121</v>
      </c>
      <c r="E90" s="21" t="s">
        <v>122</v>
      </c>
      <c r="F90" s="19">
        <v>6</v>
      </c>
      <c r="G90" s="22"/>
      <c r="H90" s="23"/>
      <c r="I90" s="24"/>
      <c r="J90" s="25" t="str">
        <f t="shared" si="3"/>
        <v/>
      </c>
      <c r="K90" s="26">
        <v>0</v>
      </c>
      <c r="L90" s="27">
        <v>49.63</v>
      </c>
      <c r="M90" s="28">
        <v>0.02</v>
      </c>
      <c r="N90" s="27">
        <f t="shared" si="4"/>
        <v>48.6374</v>
      </c>
      <c r="O90" s="29">
        <f t="shared" si="5"/>
        <v>291.82439999999997</v>
      </c>
    </row>
    <row r="91" spans="1:15" x14ac:dyDescent="0.25">
      <c r="A91" s="30">
        <v>77</v>
      </c>
      <c r="B91" s="30">
        <v>48321</v>
      </c>
      <c r="C91" s="31">
        <v>7898100268290</v>
      </c>
      <c r="D91" s="32" t="s">
        <v>123</v>
      </c>
      <c r="E91" s="32" t="s">
        <v>124</v>
      </c>
      <c r="F91" s="30">
        <v>23</v>
      </c>
      <c r="G91" s="22"/>
      <c r="H91" s="23"/>
      <c r="I91" s="24"/>
      <c r="J91" s="33" t="str">
        <f t="shared" si="3"/>
        <v/>
      </c>
      <c r="K91" s="26">
        <v>1014</v>
      </c>
      <c r="L91" s="27">
        <v>12.55</v>
      </c>
      <c r="M91" s="28">
        <v>0.04</v>
      </c>
      <c r="N91" s="27">
        <f t="shared" si="4"/>
        <v>12.048</v>
      </c>
      <c r="O91" s="29">
        <f t="shared" si="5"/>
        <v>277.10399999999998</v>
      </c>
    </row>
    <row r="92" spans="1:15" x14ac:dyDescent="0.25">
      <c r="A92" s="19">
        <v>78</v>
      </c>
      <c r="B92" s="19">
        <v>48341</v>
      </c>
      <c r="C92" s="20">
        <v>7898100268306</v>
      </c>
      <c r="D92" s="21" t="s">
        <v>125</v>
      </c>
      <c r="E92" s="21" t="s">
        <v>126</v>
      </c>
      <c r="F92" s="19">
        <v>18</v>
      </c>
      <c r="G92" s="22"/>
      <c r="H92" s="23"/>
      <c r="I92" s="24"/>
      <c r="J92" s="25" t="str">
        <f t="shared" si="3"/>
        <v/>
      </c>
      <c r="K92" s="26">
        <v>401</v>
      </c>
      <c r="L92" s="27">
        <v>71.849999999999994</v>
      </c>
      <c r="M92" s="28">
        <v>0.04</v>
      </c>
      <c r="N92" s="27">
        <f t="shared" si="4"/>
        <v>68.975999999999999</v>
      </c>
      <c r="O92" s="29">
        <f t="shared" si="5"/>
        <v>1241.568</v>
      </c>
    </row>
    <row r="93" spans="1:15" x14ac:dyDescent="0.25">
      <c r="A93" s="30">
        <v>79</v>
      </c>
      <c r="B93" s="30">
        <v>509881</v>
      </c>
      <c r="C93" s="31">
        <v>7896672203923</v>
      </c>
      <c r="D93" s="32" t="s">
        <v>127</v>
      </c>
      <c r="E93" s="32" t="s">
        <v>128</v>
      </c>
      <c r="F93" s="30">
        <v>3</v>
      </c>
      <c r="G93" s="22"/>
      <c r="H93" s="23"/>
      <c r="I93" s="24"/>
      <c r="J93" s="33" t="str">
        <f t="shared" si="3"/>
        <v/>
      </c>
      <c r="K93" s="26">
        <v>426</v>
      </c>
      <c r="L93" s="27">
        <v>160.87</v>
      </c>
      <c r="M93" s="28">
        <v>0.03</v>
      </c>
      <c r="N93" s="27">
        <f t="shared" si="4"/>
        <v>156.04390000000001</v>
      </c>
      <c r="O93" s="29">
        <f t="shared" si="5"/>
        <v>468.13170000000002</v>
      </c>
    </row>
    <row r="94" spans="1:15" x14ac:dyDescent="0.25">
      <c r="A94" s="19">
        <v>80</v>
      </c>
      <c r="B94" s="19">
        <v>2541</v>
      </c>
      <c r="C94" s="20">
        <v>7896658002120</v>
      </c>
      <c r="D94" s="21" t="s">
        <v>129</v>
      </c>
      <c r="E94" s="21" t="s">
        <v>42</v>
      </c>
      <c r="F94" s="19">
        <v>3</v>
      </c>
      <c r="G94" s="22"/>
      <c r="H94" s="23"/>
      <c r="I94" s="24"/>
      <c r="J94" s="25" t="str">
        <f t="shared" si="3"/>
        <v/>
      </c>
      <c r="K94" s="26">
        <v>1401</v>
      </c>
      <c r="L94" s="27">
        <v>37.19</v>
      </c>
      <c r="M94" s="28">
        <v>0.02</v>
      </c>
      <c r="N94" s="27">
        <f t="shared" si="4"/>
        <v>36.446199999999997</v>
      </c>
      <c r="O94" s="29">
        <f t="shared" si="5"/>
        <v>109.33859999999999</v>
      </c>
    </row>
    <row r="95" spans="1:15" x14ac:dyDescent="0.25">
      <c r="A95" s="30">
        <v>81</v>
      </c>
      <c r="B95" s="30">
        <v>603361</v>
      </c>
      <c r="C95" s="31">
        <v>4005808956487</v>
      </c>
      <c r="D95" s="32" t="s">
        <v>130</v>
      </c>
      <c r="E95" s="32" t="s">
        <v>131</v>
      </c>
      <c r="F95" s="30">
        <v>1</v>
      </c>
      <c r="G95" s="22"/>
      <c r="H95" s="23"/>
      <c r="I95" s="24"/>
      <c r="J95" s="33" t="str">
        <f t="shared" si="3"/>
        <v/>
      </c>
      <c r="K95" s="26">
        <v>0</v>
      </c>
      <c r="L95" s="27">
        <v>47.29</v>
      </c>
      <c r="M95" s="28">
        <v>0</v>
      </c>
      <c r="N95" s="27">
        <f t="shared" si="4"/>
        <v>47.29</v>
      </c>
      <c r="O95" s="29">
        <f t="shared" si="5"/>
        <v>47.29</v>
      </c>
    </row>
    <row r="96" spans="1:15" x14ac:dyDescent="0.25">
      <c r="A96" s="19">
        <v>82</v>
      </c>
      <c r="B96" s="19">
        <v>584321</v>
      </c>
      <c r="C96" s="20">
        <v>4987188568712</v>
      </c>
      <c r="D96" s="21" t="s">
        <v>132</v>
      </c>
      <c r="E96" s="21" t="s">
        <v>133</v>
      </c>
      <c r="F96" s="19">
        <v>31</v>
      </c>
      <c r="G96" s="22"/>
      <c r="H96" s="23"/>
      <c r="I96" s="24"/>
      <c r="J96" s="25" t="str">
        <f t="shared" si="3"/>
        <v/>
      </c>
      <c r="K96" s="26">
        <v>15104</v>
      </c>
      <c r="L96" s="27">
        <v>11.53</v>
      </c>
      <c r="M96" s="28">
        <v>0</v>
      </c>
      <c r="N96" s="27">
        <f t="shared" si="4"/>
        <v>11.53</v>
      </c>
      <c r="O96" s="29">
        <f t="shared" si="5"/>
        <v>357.43</v>
      </c>
    </row>
    <row r="97" spans="1:15" x14ac:dyDescent="0.25">
      <c r="A97" s="19">
        <v>83</v>
      </c>
      <c r="B97" s="19">
        <v>584321</v>
      </c>
      <c r="C97" s="20">
        <v>24987188568716</v>
      </c>
      <c r="D97" s="21" t="s">
        <v>132</v>
      </c>
      <c r="E97" s="21" t="s">
        <v>133</v>
      </c>
      <c r="F97" s="19">
        <v>31</v>
      </c>
      <c r="G97" s="22"/>
      <c r="H97" s="23"/>
      <c r="I97" s="24"/>
      <c r="J97" s="25" t="str">
        <f t="shared" si="3"/>
        <v/>
      </c>
      <c r="K97" s="34">
        <v>0</v>
      </c>
      <c r="L97" s="27">
        <v>0</v>
      </c>
      <c r="M97" s="28">
        <v>0</v>
      </c>
      <c r="N97" s="27">
        <f t="shared" si="4"/>
        <v>0</v>
      </c>
      <c r="O97" s="29">
        <f t="shared" si="5"/>
        <v>0</v>
      </c>
    </row>
    <row r="98" spans="1:15" x14ac:dyDescent="0.25">
      <c r="A98" s="30">
        <v>84</v>
      </c>
      <c r="B98" s="30">
        <v>584301</v>
      </c>
      <c r="C98" s="31">
        <v>4987188568729</v>
      </c>
      <c r="D98" s="32" t="s">
        <v>134</v>
      </c>
      <c r="E98" s="32" t="s">
        <v>135</v>
      </c>
      <c r="F98" s="30">
        <v>4</v>
      </c>
      <c r="G98" s="22"/>
      <c r="H98" s="23"/>
      <c r="I98" s="24"/>
      <c r="J98" s="33" t="str">
        <f t="shared" si="3"/>
        <v/>
      </c>
      <c r="K98" s="26">
        <v>5481</v>
      </c>
      <c r="L98" s="27">
        <v>11.53</v>
      </c>
      <c r="M98" s="28">
        <v>0</v>
      </c>
      <c r="N98" s="27">
        <f t="shared" si="4"/>
        <v>11.53</v>
      </c>
      <c r="O98" s="29">
        <f t="shared" si="5"/>
        <v>46.12</v>
      </c>
    </row>
    <row r="99" spans="1:15" x14ac:dyDescent="0.25">
      <c r="A99" s="19">
        <v>85</v>
      </c>
      <c r="B99" s="19">
        <v>606351</v>
      </c>
      <c r="C99" s="20">
        <v>7896004780078</v>
      </c>
      <c r="D99" s="21" t="s">
        <v>136</v>
      </c>
      <c r="E99" s="21" t="s">
        <v>137</v>
      </c>
      <c r="F99" s="19">
        <v>1</v>
      </c>
      <c r="G99" s="22"/>
      <c r="H99" s="23"/>
      <c r="I99" s="24"/>
      <c r="J99" s="25" t="str">
        <f t="shared" si="3"/>
        <v/>
      </c>
      <c r="K99" s="26">
        <v>172</v>
      </c>
      <c r="L99" s="27">
        <v>23.27</v>
      </c>
      <c r="M99" s="28">
        <v>0</v>
      </c>
      <c r="N99" s="27">
        <f t="shared" si="4"/>
        <v>23.27</v>
      </c>
      <c r="O99" s="29">
        <f t="shared" si="5"/>
        <v>23.27</v>
      </c>
    </row>
    <row r="100" spans="1:15" x14ac:dyDescent="0.25">
      <c r="A100" s="30">
        <v>86</v>
      </c>
      <c r="B100" s="30">
        <v>603911</v>
      </c>
      <c r="C100" s="31">
        <v>7896004780061</v>
      </c>
      <c r="D100" s="32" t="s">
        <v>138</v>
      </c>
      <c r="E100" s="32" t="s">
        <v>137</v>
      </c>
      <c r="F100" s="30">
        <v>1</v>
      </c>
      <c r="G100" s="22"/>
      <c r="H100" s="23"/>
      <c r="I100" s="24"/>
      <c r="J100" s="33" t="str">
        <f t="shared" si="3"/>
        <v/>
      </c>
      <c r="K100" s="26">
        <v>150</v>
      </c>
      <c r="L100" s="27">
        <v>30.52</v>
      </c>
      <c r="M100" s="28">
        <v>0</v>
      </c>
      <c r="N100" s="27">
        <f t="shared" si="4"/>
        <v>30.52</v>
      </c>
      <c r="O100" s="29">
        <f t="shared" si="5"/>
        <v>30.52</v>
      </c>
    </row>
    <row r="101" spans="1:15" x14ac:dyDescent="0.25">
      <c r="A101" s="19">
        <v>87</v>
      </c>
      <c r="B101" s="19">
        <v>662451</v>
      </c>
      <c r="C101" s="20">
        <v>7898040328573</v>
      </c>
      <c r="D101" s="21" t="s">
        <v>139</v>
      </c>
      <c r="E101" s="21" t="s">
        <v>140</v>
      </c>
      <c r="F101" s="19">
        <v>1</v>
      </c>
      <c r="G101" s="22"/>
      <c r="H101" s="23"/>
      <c r="I101" s="24"/>
      <c r="J101" s="25" t="str">
        <f t="shared" si="3"/>
        <v/>
      </c>
      <c r="K101" s="26">
        <v>113</v>
      </c>
      <c r="L101" s="27">
        <v>59.36</v>
      </c>
      <c r="M101" s="28">
        <v>0.02</v>
      </c>
      <c r="N101" s="27">
        <f t="shared" si="4"/>
        <v>58.172800000000002</v>
      </c>
      <c r="O101" s="29">
        <f t="shared" si="5"/>
        <v>58.172800000000002</v>
      </c>
    </row>
    <row r="102" spans="1:15" x14ac:dyDescent="0.25">
      <c r="A102" s="30">
        <v>88</v>
      </c>
      <c r="B102" s="30">
        <v>622851</v>
      </c>
      <c r="C102" s="31">
        <v>7895858017149</v>
      </c>
      <c r="D102" s="32" t="s">
        <v>141</v>
      </c>
      <c r="E102" s="32" t="s">
        <v>86</v>
      </c>
      <c r="F102" s="30">
        <v>2</v>
      </c>
      <c r="G102" s="22"/>
      <c r="H102" s="23"/>
      <c r="I102" s="24"/>
      <c r="J102" s="33" t="str">
        <f t="shared" si="3"/>
        <v/>
      </c>
      <c r="K102" s="26">
        <v>322</v>
      </c>
      <c r="L102" s="27">
        <v>56.88</v>
      </c>
      <c r="M102" s="28">
        <v>0</v>
      </c>
      <c r="N102" s="27">
        <f t="shared" si="4"/>
        <v>56.88</v>
      </c>
      <c r="O102" s="29">
        <f t="shared" si="5"/>
        <v>113.76</v>
      </c>
    </row>
    <row r="103" spans="1:15" x14ac:dyDescent="0.25">
      <c r="A103" s="19">
        <v>89</v>
      </c>
      <c r="B103" s="19">
        <v>550741</v>
      </c>
      <c r="C103" s="20">
        <v>7895858017156</v>
      </c>
      <c r="D103" s="21" t="s">
        <v>142</v>
      </c>
      <c r="E103" s="21" t="s">
        <v>143</v>
      </c>
      <c r="F103" s="19">
        <v>2</v>
      </c>
      <c r="G103" s="22"/>
      <c r="H103" s="23"/>
      <c r="I103" s="24"/>
      <c r="J103" s="25" t="str">
        <f t="shared" si="3"/>
        <v/>
      </c>
      <c r="K103" s="26">
        <v>186</v>
      </c>
      <c r="L103" s="27">
        <v>51.73</v>
      </c>
      <c r="M103" s="28">
        <v>0</v>
      </c>
      <c r="N103" s="27">
        <f t="shared" si="4"/>
        <v>51.73</v>
      </c>
      <c r="O103" s="29">
        <f t="shared" si="5"/>
        <v>103.46</v>
      </c>
    </row>
    <row r="104" spans="1:15" x14ac:dyDescent="0.25">
      <c r="A104" s="30">
        <v>90</v>
      </c>
      <c r="B104" s="30">
        <v>210221</v>
      </c>
      <c r="C104" s="31">
        <v>7896261013490</v>
      </c>
      <c r="D104" s="32" t="s">
        <v>144</v>
      </c>
      <c r="E104" s="32" t="s">
        <v>72</v>
      </c>
      <c r="F104" s="30">
        <v>4</v>
      </c>
      <c r="G104" s="22"/>
      <c r="H104" s="23"/>
      <c r="I104" s="24"/>
      <c r="J104" s="33" t="str">
        <f t="shared" si="3"/>
        <v/>
      </c>
      <c r="K104" s="26">
        <v>1894</v>
      </c>
      <c r="L104" s="27">
        <v>21.55</v>
      </c>
      <c r="M104" s="28">
        <v>0.04</v>
      </c>
      <c r="N104" s="27">
        <f t="shared" si="4"/>
        <v>20.688000000000002</v>
      </c>
      <c r="O104" s="29">
        <f t="shared" si="5"/>
        <v>82.75200000000001</v>
      </c>
    </row>
    <row r="105" spans="1:15" x14ac:dyDescent="0.25">
      <c r="A105" s="19">
        <v>91</v>
      </c>
      <c r="B105" s="19">
        <v>233941</v>
      </c>
      <c r="C105" s="20">
        <v>7896658001079</v>
      </c>
      <c r="D105" s="21" t="s">
        <v>145</v>
      </c>
      <c r="E105" s="21" t="s">
        <v>42</v>
      </c>
      <c r="F105" s="19">
        <v>5</v>
      </c>
      <c r="G105" s="22"/>
      <c r="H105" s="23"/>
      <c r="I105" s="24"/>
      <c r="J105" s="25" t="str">
        <f t="shared" si="3"/>
        <v/>
      </c>
      <c r="K105" s="26">
        <v>1989</v>
      </c>
      <c r="L105" s="27">
        <v>17.600000000000001</v>
      </c>
      <c r="M105" s="28">
        <v>0.02</v>
      </c>
      <c r="N105" s="27">
        <f t="shared" si="4"/>
        <v>17.248000000000001</v>
      </c>
      <c r="O105" s="29">
        <f t="shared" si="5"/>
        <v>86.240000000000009</v>
      </c>
    </row>
    <row r="106" spans="1:15" x14ac:dyDescent="0.25">
      <c r="A106" s="30">
        <v>92</v>
      </c>
      <c r="B106" s="30">
        <v>90901</v>
      </c>
      <c r="C106" s="31">
        <v>7908236800698</v>
      </c>
      <c r="D106" s="32" t="s">
        <v>146</v>
      </c>
      <c r="E106" s="32" t="s">
        <v>147</v>
      </c>
      <c r="F106" s="30">
        <v>1</v>
      </c>
      <c r="G106" s="22"/>
      <c r="H106" s="23"/>
      <c r="I106" s="24"/>
      <c r="J106" s="33" t="str">
        <f t="shared" si="3"/>
        <v/>
      </c>
      <c r="K106" s="26">
        <v>0</v>
      </c>
      <c r="L106" s="27">
        <v>75.650000000000006</v>
      </c>
      <c r="M106" s="28">
        <v>2.5000000000000001E-2</v>
      </c>
      <c r="N106" s="27">
        <f t="shared" si="4"/>
        <v>73.758750000000006</v>
      </c>
      <c r="O106" s="29">
        <f t="shared" si="5"/>
        <v>73.758750000000006</v>
      </c>
    </row>
    <row r="107" spans="1:15" x14ac:dyDescent="0.25">
      <c r="A107" s="19">
        <v>93</v>
      </c>
      <c r="B107" s="19">
        <v>615251</v>
      </c>
      <c r="C107" s="20">
        <v>4005900813053</v>
      </c>
      <c r="D107" s="21" t="s">
        <v>148</v>
      </c>
      <c r="E107" s="21" t="s">
        <v>131</v>
      </c>
      <c r="F107" s="19">
        <v>1</v>
      </c>
      <c r="G107" s="22"/>
      <c r="H107" s="23"/>
      <c r="I107" s="24"/>
      <c r="J107" s="25" t="str">
        <f t="shared" si="3"/>
        <v/>
      </c>
      <c r="K107" s="34">
        <v>0</v>
      </c>
      <c r="L107" s="27">
        <v>0</v>
      </c>
      <c r="M107" s="28">
        <v>0</v>
      </c>
      <c r="N107" s="27">
        <f t="shared" si="4"/>
        <v>0</v>
      </c>
      <c r="O107" s="29">
        <f t="shared" si="5"/>
        <v>0</v>
      </c>
    </row>
    <row r="108" spans="1:15" x14ac:dyDescent="0.25">
      <c r="A108" s="30">
        <v>94</v>
      </c>
      <c r="B108" s="30">
        <v>556161</v>
      </c>
      <c r="C108" s="31">
        <v>7899706182980</v>
      </c>
      <c r="D108" s="32" t="s">
        <v>149</v>
      </c>
      <c r="E108" s="32" t="s">
        <v>150</v>
      </c>
      <c r="F108" s="30">
        <v>1</v>
      </c>
      <c r="G108" s="22"/>
      <c r="H108" s="23"/>
      <c r="I108" s="24"/>
      <c r="J108" s="33" t="str">
        <f t="shared" si="3"/>
        <v/>
      </c>
      <c r="K108" s="26">
        <v>0</v>
      </c>
      <c r="L108" s="27">
        <v>41.2</v>
      </c>
      <c r="M108" s="28">
        <v>0</v>
      </c>
      <c r="N108" s="27">
        <f t="shared" si="4"/>
        <v>41.2</v>
      </c>
      <c r="O108" s="29">
        <f t="shared" si="5"/>
        <v>41.2</v>
      </c>
    </row>
    <row r="109" spans="1:15" x14ac:dyDescent="0.25">
      <c r="A109" s="19">
        <v>95</v>
      </c>
      <c r="B109" s="19">
        <v>624311</v>
      </c>
      <c r="C109" s="20">
        <v>7899706190480</v>
      </c>
      <c r="D109" s="21" t="s">
        <v>151</v>
      </c>
      <c r="E109" s="21" t="s">
        <v>63</v>
      </c>
      <c r="F109" s="19">
        <v>1</v>
      </c>
      <c r="G109" s="22"/>
      <c r="H109" s="23"/>
      <c r="I109" s="24"/>
      <c r="J109" s="25" t="str">
        <f t="shared" si="3"/>
        <v/>
      </c>
      <c r="K109" s="26">
        <v>0</v>
      </c>
      <c r="L109" s="27">
        <v>115.11</v>
      </c>
      <c r="M109" s="28">
        <v>0</v>
      </c>
      <c r="N109" s="27">
        <f t="shared" si="4"/>
        <v>115.11</v>
      </c>
      <c r="O109" s="29">
        <f t="shared" si="5"/>
        <v>115.11</v>
      </c>
    </row>
    <row r="110" spans="1:15" x14ac:dyDescent="0.25">
      <c r="A110" s="30">
        <v>96</v>
      </c>
      <c r="B110" s="30">
        <v>539441</v>
      </c>
      <c r="C110" s="31">
        <v>7899706159173</v>
      </c>
      <c r="D110" s="32" t="s">
        <v>152</v>
      </c>
      <c r="E110" s="32" t="s">
        <v>63</v>
      </c>
      <c r="F110" s="30">
        <v>3</v>
      </c>
      <c r="G110" s="22"/>
      <c r="H110" s="23"/>
      <c r="I110" s="24"/>
      <c r="J110" s="33" t="str">
        <f t="shared" si="3"/>
        <v/>
      </c>
      <c r="K110" s="26">
        <v>950</v>
      </c>
      <c r="L110" s="27">
        <v>81.98</v>
      </c>
      <c r="M110" s="28">
        <v>0</v>
      </c>
      <c r="N110" s="27">
        <f t="shared" si="4"/>
        <v>81.98</v>
      </c>
      <c r="O110" s="29">
        <f t="shared" si="5"/>
        <v>245.94</v>
      </c>
    </row>
    <row r="111" spans="1:15" x14ac:dyDescent="0.25">
      <c r="A111" s="19">
        <v>97</v>
      </c>
      <c r="B111" s="19">
        <v>669751</v>
      </c>
      <c r="C111" s="20">
        <v>7899706159197</v>
      </c>
      <c r="D111" s="21" t="s">
        <v>153</v>
      </c>
      <c r="E111" s="21" t="s">
        <v>63</v>
      </c>
      <c r="F111" s="19">
        <v>2</v>
      </c>
      <c r="G111" s="22"/>
      <c r="H111" s="23"/>
      <c r="I111" s="24"/>
      <c r="J111" s="25" t="str">
        <f t="shared" si="3"/>
        <v/>
      </c>
      <c r="K111" s="26">
        <v>0</v>
      </c>
      <c r="L111" s="27">
        <v>113.43</v>
      </c>
      <c r="M111" s="28">
        <v>0</v>
      </c>
      <c r="N111" s="27">
        <f t="shared" si="4"/>
        <v>113.43</v>
      </c>
      <c r="O111" s="29">
        <f t="shared" si="5"/>
        <v>226.86</v>
      </c>
    </row>
    <row r="112" spans="1:15" x14ac:dyDescent="0.25">
      <c r="A112" s="30">
        <v>98</v>
      </c>
      <c r="B112" s="30">
        <v>631111</v>
      </c>
      <c r="C112" s="31">
        <v>7899706172707</v>
      </c>
      <c r="D112" s="32" t="s">
        <v>154</v>
      </c>
      <c r="E112" s="32" t="s">
        <v>63</v>
      </c>
      <c r="F112" s="30">
        <v>1</v>
      </c>
      <c r="G112" s="22"/>
      <c r="H112" s="23"/>
      <c r="I112" s="24"/>
      <c r="J112" s="33" t="str">
        <f t="shared" si="3"/>
        <v/>
      </c>
      <c r="K112" s="26">
        <v>0</v>
      </c>
      <c r="L112" s="27">
        <v>45.77</v>
      </c>
      <c r="M112" s="28">
        <v>0</v>
      </c>
      <c r="N112" s="27">
        <f t="shared" si="4"/>
        <v>45.77</v>
      </c>
      <c r="O112" s="29">
        <f t="shared" si="5"/>
        <v>45.77</v>
      </c>
    </row>
    <row r="113" spans="1:15" x14ac:dyDescent="0.25">
      <c r="A113" s="19">
        <v>99</v>
      </c>
      <c r="B113" s="19">
        <v>552981</v>
      </c>
      <c r="C113" s="20">
        <v>7899706159258</v>
      </c>
      <c r="D113" s="21" t="s">
        <v>155</v>
      </c>
      <c r="E113" s="21" t="s">
        <v>63</v>
      </c>
      <c r="F113" s="19">
        <v>1</v>
      </c>
      <c r="G113" s="22"/>
      <c r="H113" s="23"/>
      <c r="I113" s="24"/>
      <c r="J113" s="25" t="str">
        <f t="shared" si="3"/>
        <v/>
      </c>
      <c r="K113" s="26">
        <v>299</v>
      </c>
      <c r="L113" s="27">
        <v>74.06</v>
      </c>
      <c r="M113" s="28">
        <v>0</v>
      </c>
      <c r="N113" s="27">
        <f t="shared" si="4"/>
        <v>74.06</v>
      </c>
      <c r="O113" s="29">
        <f t="shared" si="5"/>
        <v>74.06</v>
      </c>
    </row>
    <row r="114" spans="1:15" x14ac:dyDescent="0.25">
      <c r="A114" s="30">
        <v>100</v>
      </c>
      <c r="B114" s="30">
        <v>609661</v>
      </c>
      <c r="C114" s="31">
        <v>7908615015484</v>
      </c>
      <c r="D114" s="32" t="s">
        <v>156</v>
      </c>
      <c r="E114" s="32" t="s">
        <v>63</v>
      </c>
      <c r="F114" s="30">
        <v>2</v>
      </c>
      <c r="G114" s="22"/>
      <c r="H114" s="23"/>
      <c r="I114" s="24"/>
      <c r="J114" s="33" t="str">
        <f t="shared" si="3"/>
        <v/>
      </c>
      <c r="K114" s="26">
        <v>872</v>
      </c>
      <c r="L114" s="27">
        <v>45.38</v>
      </c>
      <c r="M114" s="28">
        <v>0</v>
      </c>
      <c r="N114" s="27">
        <f t="shared" si="4"/>
        <v>45.38</v>
      </c>
      <c r="O114" s="29">
        <f t="shared" si="5"/>
        <v>90.76</v>
      </c>
    </row>
    <row r="115" spans="1:15" x14ac:dyDescent="0.25">
      <c r="A115" s="19">
        <v>101</v>
      </c>
      <c r="B115" s="19">
        <v>624301</v>
      </c>
      <c r="C115" s="20">
        <v>7899706186698</v>
      </c>
      <c r="D115" s="21" t="s">
        <v>157</v>
      </c>
      <c r="E115" s="21" t="s">
        <v>63</v>
      </c>
      <c r="F115" s="19">
        <v>2</v>
      </c>
      <c r="G115" s="22"/>
      <c r="H115" s="23"/>
      <c r="I115" s="24"/>
      <c r="J115" s="25" t="str">
        <f t="shared" si="3"/>
        <v/>
      </c>
      <c r="K115" s="26">
        <v>342</v>
      </c>
      <c r="L115" s="27">
        <v>102.28</v>
      </c>
      <c r="M115" s="28">
        <v>0</v>
      </c>
      <c r="N115" s="27">
        <f t="shared" si="4"/>
        <v>102.28</v>
      </c>
      <c r="O115" s="29">
        <f t="shared" si="5"/>
        <v>204.56</v>
      </c>
    </row>
    <row r="116" spans="1:15" x14ac:dyDescent="0.25">
      <c r="A116" s="30">
        <v>102</v>
      </c>
      <c r="B116" s="30">
        <v>653331</v>
      </c>
      <c r="C116" s="31">
        <v>7908615086309</v>
      </c>
      <c r="D116" s="32" t="s">
        <v>158</v>
      </c>
      <c r="E116" s="32" t="s">
        <v>33</v>
      </c>
      <c r="F116" s="30">
        <v>3</v>
      </c>
      <c r="G116" s="22"/>
      <c r="H116" s="23"/>
      <c r="I116" s="24"/>
      <c r="J116" s="33" t="str">
        <f t="shared" si="3"/>
        <v/>
      </c>
      <c r="K116" s="26">
        <v>276</v>
      </c>
      <c r="L116" s="27">
        <v>87.98</v>
      </c>
      <c r="M116" s="28">
        <v>0</v>
      </c>
      <c r="N116" s="27">
        <f t="shared" si="4"/>
        <v>87.98</v>
      </c>
      <c r="O116" s="29">
        <f t="shared" si="5"/>
        <v>263.94</v>
      </c>
    </row>
    <row r="117" spans="1:15" x14ac:dyDescent="0.25">
      <c r="A117" s="19">
        <v>103</v>
      </c>
      <c r="B117" s="19">
        <v>637261</v>
      </c>
      <c r="C117" s="20">
        <v>7899706159272</v>
      </c>
      <c r="D117" s="21" t="s">
        <v>159</v>
      </c>
      <c r="E117" s="21"/>
      <c r="F117" s="19">
        <v>2</v>
      </c>
      <c r="G117" s="22"/>
      <c r="H117" s="23"/>
      <c r="I117" s="24"/>
      <c r="J117" s="25" t="str">
        <f t="shared" si="3"/>
        <v/>
      </c>
      <c r="K117" s="26">
        <v>0</v>
      </c>
      <c r="L117" s="27">
        <v>113.43</v>
      </c>
      <c r="M117" s="28">
        <v>0</v>
      </c>
      <c r="N117" s="27">
        <f t="shared" si="4"/>
        <v>113.43</v>
      </c>
      <c r="O117" s="29">
        <f t="shared" si="5"/>
        <v>226.86</v>
      </c>
    </row>
    <row r="118" spans="1:15" x14ac:dyDescent="0.25">
      <c r="A118" s="30">
        <v>104</v>
      </c>
      <c r="B118" s="30">
        <v>624291</v>
      </c>
      <c r="C118" s="31">
        <v>7899706211178</v>
      </c>
      <c r="D118" s="32" t="s">
        <v>160</v>
      </c>
      <c r="E118" s="32" t="s">
        <v>63</v>
      </c>
      <c r="F118" s="30">
        <v>1</v>
      </c>
      <c r="G118" s="22"/>
      <c r="H118" s="23"/>
      <c r="I118" s="24"/>
      <c r="J118" s="33" t="str">
        <f t="shared" si="3"/>
        <v/>
      </c>
      <c r="K118" s="26">
        <v>0</v>
      </c>
      <c r="L118" s="27">
        <v>75.05</v>
      </c>
      <c r="M118" s="28">
        <v>0</v>
      </c>
      <c r="N118" s="27">
        <f t="shared" si="4"/>
        <v>75.05</v>
      </c>
      <c r="O118" s="29">
        <f t="shared" si="5"/>
        <v>75.05</v>
      </c>
    </row>
    <row r="119" spans="1:15" x14ac:dyDescent="0.25">
      <c r="A119" s="19">
        <v>105</v>
      </c>
      <c r="B119" s="19">
        <v>654251</v>
      </c>
      <c r="C119" s="20">
        <v>7897337716215</v>
      </c>
      <c r="D119" s="21" t="s">
        <v>161</v>
      </c>
      <c r="E119" s="21" t="s">
        <v>76</v>
      </c>
      <c r="F119" s="19">
        <v>1</v>
      </c>
      <c r="G119" s="22"/>
      <c r="H119" s="23"/>
      <c r="I119" s="24"/>
      <c r="J119" s="25" t="str">
        <f t="shared" si="3"/>
        <v/>
      </c>
      <c r="K119" s="26">
        <v>513</v>
      </c>
      <c r="L119" s="27">
        <v>46.93</v>
      </c>
      <c r="M119" s="28">
        <v>0.03</v>
      </c>
      <c r="N119" s="27">
        <f t="shared" si="4"/>
        <v>45.522100000000002</v>
      </c>
      <c r="O119" s="29">
        <f t="shared" si="5"/>
        <v>45.522100000000002</v>
      </c>
    </row>
    <row r="120" spans="1:15" x14ac:dyDescent="0.25">
      <c r="A120" s="30">
        <v>106</v>
      </c>
      <c r="B120" s="30">
        <v>293601</v>
      </c>
      <c r="C120" s="31">
        <v>7896548140284</v>
      </c>
      <c r="D120" s="32" t="s">
        <v>162</v>
      </c>
      <c r="E120" s="32" t="s">
        <v>72</v>
      </c>
      <c r="F120" s="30">
        <v>11</v>
      </c>
      <c r="G120" s="22"/>
      <c r="H120" s="23"/>
      <c r="I120" s="24"/>
      <c r="J120" s="33" t="str">
        <f t="shared" si="3"/>
        <v/>
      </c>
      <c r="K120" s="26">
        <v>3731</v>
      </c>
      <c r="L120" s="27">
        <v>22.59</v>
      </c>
      <c r="M120" s="28">
        <v>0.04</v>
      </c>
      <c r="N120" s="27">
        <f t="shared" si="4"/>
        <v>21.686399999999999</v>
      </c>
      <c r="O120" s="29">
        <f t="shared" si="5"/>
        <v>238.5504</v>
      </c>
    </row>
    <row r="121" spans="1:15" x14ac:dyDescent="0.25">
      <c r="A121" s="19">
        <v>107</v>
      </c>
      <c r="B121" s="19">
        <v>619891</v>
      </c>
      <c r="C121" s="20">
        <v>7897930777781</v>
      </c>
      <c r="D121" s="21" t="s">
        <v>163</v>
      </c>
      <c r="E121" s="21" t="s">
        <v>164</v>
      </c>
      <c r="F121" s="19">
        <v>2</v>
      </c>
      <c r="G121" s="22"/>
      <c r="H121" s="23"/>
      <c r="I121" s="24"/>
      <c r="J121" s="25" t="str">
        <f t="shared" si="3"/>
        <v/>
      </c>
      <c r="K121" s="26">
        <v>75</v>
      </c>
      <c r="L121" s="27">
        <v>78.83</v>
      </c>
      <c r="M121" s="28">
        <v>0</v>
      </c>
      <c r="N121" s="27">
        <f t="shared" si="4"/>
        <v>78.83</v>
      </c>
      <c r="O121" s="29">
        <f t="shared" si="5"/>
        <v>157.66</v>
      </c>
    </row>
    <row r="122" spans="1:15" x14ac:dyDescent="0.25">
      <c r="A122" s="19">
        <v>108</v>
      </c>
      <c r="B122" s="19">
        <v>619891</v>
      </c>
      <c r="C122" s="20">
        <v>7897930777873</v>
      </c>
      <c r="D122" s="21" t="s">
        <v>163</v>
      </c>
      <c r="E122" s="21" t="s">
        <v>164</v>
      </c>
      <c r="F122" s="19">
        <v>2</v>
      </c>
      <c r="G122" s="22"/>
      <c r="H122" s="23"/>
      <c r="I122" s="24"/>
      <c r="J122" s="25" t="str">
        <f t="shared" si="3"/>
        <v/>
      </c>
      <c r="K122" s="26">
        <v>42</v>
      </c>
      <c r="L122" s="27">
        <v>78.83</v>
      </c>
      <c r="M122" s="28">
        <v>0</v>
      </c>
      <c r="N122" s="27">
        <f t="shared" si="4"/>
        <v>78.83</v>
      </c>
      <c r="O122" s="29">
        <f t="shared" si="5"/>
        <v>157.66</v>
      </c>
    </row>
    <row r="123" spans="1:15" x14ac:dyDescent="0.25">
      <c r="A123" s="30">
        <v>109</v>
      </c>
      <c r="B123" s="30">
        <v>363</v>
      </c>
      <c r="C123" s="31">
        <v>7897930777798</v>
      </c>
      <c r="D123" s="32" t="s">
        <v>165</v>
      </c>
      <c r="E123" s="32" t="s">
        <v>166</v>
      </c>
      <c r="F123" s="30">
        <v>1</v>
      </c>
      <c r="G123" s="22"/>
      <c r="H123" s="23"/>
      <c r="I123" s="24"/>
      <c r="J123" s="33" t="str">
        <f t="shared" si="3"/>
        <v/>
      </c>
      <c r="K123" s="26">
        <v>83</v>
      </c>
      <c r="L123" s="27">
        <v>113.9</v>
      </c>
      <c r="M123" s="28">
        <v>0</v>
      </c>
      <c r="N123" s="27">
        <f t="shared" si="4"/>
        <v>113.9</v>
      </c>
      <c r="O123" s="29">
        <f t="shared" si="5"/>
        <v>113.9</v>
      </c>
    </row>
    <row r="124" spans="1:15" x14ac:dyDescent="0.25">
      <c r="A124" s="19">
        <v>110</v>
      </c>
      <c r="B124" s="19">
        <v>383</v>
      </c>
      <c r="C124" s="20">
        <v>7897930777743</v>
      </c>
      <c r="D124" s="21" t="s">
        <v>167</v>
      </c>
      <c r="E124" s="21" t="s">
        <v>166</v>
      </c>
      <c r="F124" s="19">
        <v>2</v>
      </c>
      <c r="G124" s="22"/>
      <c r="H124" s="23"/>
      <c r="I124" s="24"/>
      <c r="J124" s="25" t="str">
        <f t="shared" si="3"/>
        <v/>
      </c>
      <c r="K124" s="26">
        <v>113</v>
      </c>
      <c r="L124" s="27">
        <v>113.9</v>
      </c>
      <c r="M124" s="28">
        <v>0</v>
      </c>
      <c r="N124" s="27">
        <f t="shared" si="4"/>
        <v>113.9</v>
      </c>
      <c r="O124" s="29">
        <f t="shared" si="5"/>
        <v>227.8</v>
      </c>
    </row>
    <row r="125" spans="1:15" x14ac:dyDescent="0.25">
      <c r="A125" s="30">
        <v>111</v>
      </c>
      <c r="B125" s="30">
        <v>963</v>
      </c>
      <c r="C125" s="31">
        <v>7908615000169</v>
      </c>
      <c r="D125" s="32" t="s">
        <v>168</v>
      </c>
      <c r="E125" s="32" t="s">
        <v>33</v>
      </c>
      <c r="F125" s="30">
        <v>3</v>
      </c>
      <c r="G125" s="22"/>
      <c r="H125" s="23"/>
      <c r="I125" s="24"/>
      <c r="J125" s="33" t="str">
        <f t="shared" si="3"/>
        <v/>
      </c>
      <c r="K125" s="26">
        <v>4191</v>
      </c>
      <c r="L125" s="27">
        <v>46.67</v>
      </c>
      <c r="M125" s="28">
        <v>0</v>
      </c>
      <c r="N125" s="27">
        <f t="shared" si="4"/>
        <v>46.67</v>
      </c>
      <c r="O125" s="29">
        <f t="shared" si="5"/>
        <v>140.01</v>
      </c>
    </row>
    <row r="126" spans="1:15" x14ac:dyDescent="0.25">
      <c r="A126" s="19">
        <v>112</v>
      </c>
      <c r="B126" s="19">
        <v>632071</v>
      </c>
      <c r="C126" s="20">
        <v>7908615000244</v>
      </c>
      <c r="D126" s="21" t="s">
        <v>169</v>
      </c>
      <c r="E126" s="21" t="s">
        <v>63</v>
      </c>
      <c r="F126" s="19">
        <v>1</v>
      </c>
      <c r="G126" s="22"/>
      <c r="H126" s="23"/>
      <c r="I126" s="24"/>
      <c r="J126" s="25" t="str">
        <f t="shared" si="3"/>
        <v/>
      </c>
      <c r="K126" s="26">
        <v>3140</v>
      </c>
      <c r="L126" s="27">
        <v>86.68</v>
      </c>
      <c r="M126" s="28">
        <v>0</v>
      </c>
      <c r="N126" s="27">
        <f t="shared" si="4"/>
        <v>86.68</v>
      </c>
      <c r="O126" s="29">
        <f t="shared" si="5"/>
        <v>86.68</v>
      </c>
    </row>
    <row r="127" spans="1:15" x14ac:dyDescent="0.25">
      <c r="A127" s="30">
        <v>113</v>
      </c>
      <c r="B127" s="30">
        <v>628631</v>
      </c>
      <c r="C127" s="31">
        <v>7898636191802</v>
      </c>
      <c r="D127" s="32" t="s">
        <v>170</v>
      </c>
      <c r="E127" s="32"/>
      <c r="F127" s="30">
        <v>1</v>
      </c>
      <c r="G127" s="22"/>
      <c r="H127" s="23"/>
      <c r="I127" s="24"/>
      <c r="J127" s="33" t="str">
        <f t="shared" si="3"/>
        <v/>
      </c>
      <c r="K127" s="34">
        <v>0</v>
      </c>
      <c r="L127" s="27">
        <v>0</v>
      </c>
      <c r="M127" s="28">
        <v>0</v>
      </c>
      <c r="N127" s="27">
        <f t="shared" si="4"/>
        <v>0</v>
      </c>
      <c r="O127" s="29">
        <f t="shared" si="5"/>
        <v>0</v>
      </c>
    </row>
    <row r="128" spans="1:15" x14ac:dyDescent="0.25">
      <c r="A128" s="19">
        <v>114</v>
      </c>
      <c r="B128" s="19">
        <v>594261</v>
      </c>
      <c r="C128" s="20">
        <v>7898949409625</v>
      </c>
      <c r="D128" s="21" t="s">
        <v>171</v>
      </c>
      <c r="E128" s="21" t="s">
        <v>78</v>
      </c>
      <c r="F128" s="19">
        <v>4</v>
      </c>
      <c r="G128" s="22"/>
      <c r="H128" s="23"/>
      <c r="I128" s="24"/>
      <c r="J128" s="25" t="str">
        <f t="shared" si="3"/>
        <v/>
      </c>
      <c r="K128" s="26">
        <v>1692</v>
      </c>
      <c r="L128" s="27">
        <v>30.28</v>
      </c>
      <c r="M128" s="28">
        <v>0</v>
      </c>
      <c r="N128" s="27">
        <f t="shared" si="4"/>
        <v>30.28</v>
      </c>
      <c r="O128" s="29">
        <f t="shared" si="5"/>
        <v>121.12</v>
      </c>
    </row>
    <row r="129" spans="1:15" x14ac:dyDescent="0.25">
      <c r="A129" s="30">
        <v>115</v>
      </c>
      <c r="B129" s="30">
        <v>632771</v>
      </c>
      <c r="C129" s="31">
        <v>7500435230957</v>
      </c>
      <c r="D129" s="32" t="s">
        <v>172</v>
      </c>
      <c r="E129" s="32" t="s">
        <v>44</v>
      </c>
      <c r="F129" s="30">
        <v>8</v>
      </c>
      <c r="G129" s="22"/>
      <c r="H129" s="23"/>
      <c r="I129" s="24"/>
      <c r="J129" s="33" t="str">
        <f t="shared" si="3"/>
        <v/>
      </c>
      <c r="K129" s="26">
        <v>749</v>
      </c>
      <c r="L129" s="27">
        <v>74.959999999999994</v>
      </c>
      <c r="M129" s="28">
        <v>0.05</v>
      </c>
      <c r="N129" s="27">
        <f t="shared" si="4"/>
        <v>71.211999999999989</v>
      </c>
      <c r="O129" s="29">
        <f t="shared" si="5"/>
        <v>569.69599999999991</v>
      </c>
    </row>
    <row r="130" spans="1:15" x14ac:dyDescent="0.25">
      <c r="A130" s="19">
        <v>116</v>
      </c>
      <c r="B130" s="19">
        <v>161441</v>
      </c>
      <c r="C130" s="20">
        <v>7896548113479</v>
      </c>
      <c r="D130" s="21" t="s">
        <v>173</v>
      </c>
      <c r="E130" s="21" t="s">
        <v>174</v>
      </c>
      <c r="F130" s="19">
        <v>17</v>
      </c>
      <c r="G130" s="22"/>
      <c r="H130" s="23"/>
      <c r="I130" s="24"/>
      <c r="J130" s="25" t="str">
        <f t="shared" si="3"/>
        <v/>
      </c>
      <c r="K130" s="26">
        <v>2839</v>
      </c>
      <c r="L130" s="27">
        <v>24.19</v>
      </c>
      <c r="M130" s="28">
        <v>0.02</v>
      </c>
      <c r="N130" s="27">
        <f t="shared" si="4"/>
        <v>23.706200000000003</v>
      </c>
      <c r="O130" s="29">
        <f t="shared" si="5"/>
        <v>403.00540000000007</v>
      </c>
    </row>
    <row r="131" spans="1:15" x14ac:dyDescent="0.25">
      <c r="A131" s="30">
        <v>117</v>
      </c>
      <c r="B131" s="30">
        <v>225881</v>
      </c>
      <c r="C131" s="31">
        <v>7896672202681</v>
      </c>
      <c r="D131" s="32" t="s">
        <v>175</v>
      </c>
      <c r="E131" s="32" t="s">
        <v>128</v>
      </c>
      <c r="F131" s="30">
        <v>5</v>
      </c>
      <c r="G131" s="22"/>
      <c r="H131" s="23"/>
      <c r="I131" s="24"/>
      <c r="J131" s="33" t="str">
        <f t="shared" si="3"/>
        <v/>
      </c>
      <c r="K131" s="26">
        <v>5857</v>
      </c>
      <c r="L131" s="27">
        <v>69.3</v>
      </c>
      <c r="M131" s="28">
        <v>0.03</v>
      </c>
      <c r="N131" s="27">
        <f t="shared" si="4"/>
        <v>67.221000000000004</v>
      </c>
      <c r="O131" s="29">
        <f t="shared" si="5"/>
        <v>336.10500000000002</v>
      </c>
    </row>
    <row r="132" spans="1:15" x14ac:dyDescent="0.25">
      <c r="A132" s="19">
        <v>118</v>
      </c>
      <c r="B132" s="19">
        <v>225401</v>
      </c>
      <c r="C132" s="20">
        <v>7896672202902</v>
      </c>
      <c r="D132" s="21" t="s">
        <v>176</v>
      </c>
      <c r="E132" s="21" t="s">
        <v>128</v>
      </c>
      <c r="F132" s="19">
        <v>3</v>
      </c>
      <c r="G132" s="22"/>
      <c r="H132" s="23"/>
      <c r="I132" s="24"/>
      <c r="J132" s="25" t="str">
        <f t="shared" si="3"/>
        <v/>
      </c>
      <c r="K132" s="26">
        <v>39</v>
      </c>
      <c r="L132" s="27">
        <v>59.09</v>
      </c>
      <c r="M132" s="28">
        <v>0.03</v>
      </c>
      <c r="N132" s="27">
        <f t="shared" si="4"/>
        <v>57.317300000000003</v>
      </c>
      <c r="O132" s="29">
        <f t="shared" si="5"/>
        <v>171.95190000000002</v>
      </c>
    </row>
    <row r="133" spans="1:15" x14ac:dyDescent="0.25">
      <c r="A133" s="30">
        <v>119</v>
      </c>
      <c r="B133" s="30">
        <v>225761</v>
      </c>
      <c r="C133" s="31">
        <v>7896672202810</v>
      </c>
      <c r="D133" s="32" t="s">
        <v>177</v>
      </c>
      <c r="E133" s="32" t="s">
        <v>128</v>
      </c>
      <c r="F133" s="30">
        <v>1</v>
      </c>
      <c r="G133" s="22"/>
      <c r="H133" s="23"/>
      <c r="I133" s="24"/>
      <c r="J133" s="33" t="str">
        <f t="shared" si="3"/>
        <v/>
      </c>
      <c r="K133" s="26">
        <v>307</v>
      </c>
      <c r="L133" s="27">
        <v>36.6</v>
      </c>
      <c r="M133" s="28">
        <v>0.03</v>
      </c>
      <c r="N133" s="27">
        <f t="shared" si="4"/>
        <v>35.502000000000002</v>
      </c>
      <c r="O133" s="29">
        <f t="shared" si="5"/>
        <v>35.502000000000002</v>
      </c>
    </row>
    <row r="134" spans="1:15" x14ac:dyDescent="0.25">
      <c r="A134" s="19">
        <v>120</v>
      </c>
      <c r="B134" s="19">
        <v>652301</v>
      </c>
      <c r="C134" s="20">
        <v>7896026172295</v>
      </c>
      <c r="D134" s="21" t="s">
        <v>178</v>
      </c>
      <c r="E134" s="21"/>
      <c r="F134" s="19">
        <v>2</v>
      </c>
      <c r="G134" s="22"/>
      <c r="H134" s="23"/>
      <c r="I134" s="24"/>
      <c r="J134" s="25" t="str">
        <f t="shared" si="3"/>
        <v/>
      </c>
      <c r="K134" s="26">
        <v>22</v>
      </c>
      <c r="L134" s="27">
        <v>61.76</v>
      </c>
      <c r="M134" s="28">
        <v>0.03</v>
      </c>
      <c r="N134" s="27">
        <f t="shared" si="4"/>
        <v>59.907199999999996</v>
      </c>
      <c r="O134" s="29">
        <f t="shared" si="5"/>
        <v>119.81439999999999</v>
      </c>
    </row>
    <row r="135" spans="1:15" x14ac:dyDescent="0.25">
      <c r="A135" s="30">
        <v>121</v>
      </c>
      <c r="B135" s="30">
        <v>135661</v>
      </c>
      <c r="C135" s="31">
        <v>7891158106965</v>
      </c>
      <c r="D135" s="32" t="s">
        <v>179</v>
      </c>
      <c r="E135" s="32" t="s">
        <v>180</v>
      </c>
      <c r="F135" s="30">
        <v>7</v>
      </c>
      <c r="G135" s="22"/>
      <c r="H135" s="23"/>
      <c r="I135" s="24"/>
      <c r="J135" s="33" t="str">
        <f t="shared" si="3"/>
        <v/>
      </c>
      <c r="K135" s="26">
        <v>5212</v>
      </c>
      <c r="L135" s="27">
        <v>23.04</v>
      </c>
      <c r="M135" s="28">
        <v>0</v>
      </c>
      <c r="N135" s="27">
        <f t="shared" si="4"/>
        <v>23.04</v>
      </c>
      <c r="O135" s="29">
        <f t="shared" si="5"/>
        <v>161.28</v>
      </c>
    </row>
    <row r="136" spans="1:15" x14ac:dyDescent="0.25">
      <c r="A136" s="19">
        <v>122</v>
      </c>
      <c r="B136" s="19">
        <v>661331</v>
      </c>
      <c r="C136" s="20">
        <v>7891158106897</v>
      </c>
      <c r="D136" s="21" t="s">
        <v>181</v>
      </c>
      <c r="E136" s="21" t="s">
        <v>182</v>
      </c>
      <c r="F136" s="19">
        <v>8</v>
      </c>
      <c r="G136" s="22"/>
      <c r="H136" s="23"/>
      <c r="I136" s="24"/>
      <c r="J136" s="25" t="str">
        <f t="shared" si="3"/>
        <v/>
      </c>
      <c r="K136" s="26">
        <v>3120</v>
      </c>
      <c r="L136" s="27">
        <v>36.549999999999997</v>
      </c>
      <c r="M136" s="28">
        <v>0</v>
      </c>
      <c r="N136" s="27">
        <f t="shared" si="4"/>
        <v>36.549999999999997</v>
      </c>
      <c r="O136" s="29">
        <f t="shared" si="5"/>
        <v>292.39999999999998</v>
      </c>
    </row>
    <row r="137" spans="1:15" x14ac:dyDescent="0.25">
      <c r="A137" s="19">
        <v>123</v>
      </c>
      <c r="B137" s="19">
        <v>661331</v>
      </c>
      <c r="C137" s="20">
        <v>7891158102950</v>
      </c>
      <c r="D137" s="21" t="s">
        <v>181</v>
      </c>
      <c r="E137" s="21" t="s">
        <v>182</v>
      </c>
      <c r="F137" s="19">
        <v>8</v>
      </c>
      <c r="G137" s="22"/>
      <c r="H137" s="23"/>
      <c r="I137" s="24"/>
      <c r="J137" s="25" t="str">
        <f t="shared" si="3"/>
        <v/>
      </c>
      <c r="K137" s="34">
        <v>0</v>
      </c>
      <c r="L137" s="27">
        <v>0</v>
      </c>
      <c r="M137" s="28">
        <v>0</v>
      </c>
      <c r="N137" s="27">
        <f t="shared" si="4"/>
        <v>0</v>
      </c>
      <c r="O137" s="29">
        <f t="shared" si="5"/>
        <v>0</v>
      </c>
    </row>
    <row r="138" spans="1:15" x14ac:dyDescent="0.25">
      <c r="A138" s="30">
        <v>124</v>
      </c>
      <c r="B138" s="30">
        <v>674291</v>
      </c>
      <c r="C138" s="31">
        <v>7896637035736</v>
      </c>
      <c r="D138" s="32" t="s">
        <v>183</v>
      </c>
      <c r="E138" s="32" t="s">
        <v>184</v>
      </c>
      <c r="F138" s="30">
        <v>6</v>
      </c>
      <c r="G138" s="22"/>
      <c r="H138" s="23"/>
      <c r="I138" s="24"/>
      <c r="J138" s="33" t="str">
        <f t="shared" si="3"/>
        <v/>
      </c>
      <c r="K138" s="26">
        <v>557</v>
      </c>
      <c r="L138" s="27">
        <v>26.44</v>
      </c>
      <c r="M138" s="28">
        <v>1.4999999999999999E-2</v>
      </c>
      <c r="N138" s="27">
        <f t="shared" si="4"/>
        <v>26.043400000000002</v>
      </c>
      <c r="O138" s="29">
        <f t="shared" si="5"/>
        <v>156.2604</v>
      </c>
    </row>
    <row r="139" spans="1:15" x14ac:dyDescent="0.25">
      <c r="A139" s="19">
        <v>125</v>
      </c>
      <c r="B139" s="19">
        <v>399321</v>
      </c>
      <c r="C139" s="20">
        <v>7899420506918</v>
      </c>
      <c r="D139" s="21" t="s">
        <v>185</v>
      </c>
      <c r="E139" s="21" t="s">
        <v>106</v>
      </c>
      <c r="F139" s="19">
        <v>1</v>
      </c>
      <c r="G139" s="22"/>
      <c r="H139" s="23"/>
      <c r="I139" s="24"/>
      <c r="J139" s="25" t="str">
        <f t="shared" si="3"/>
        <v/>
      </c>
      <c r="K139" s="26">
        <v>88</v>
      </c>
      <c r="L139" s="27">
        <v>26.54</v>
      </c>
      <c r="M139" s="28">
        <v>0.02</v>
      </c>
      <c r="N139" s="27">
        <f t="shared" si="4"/>
        <v>26.0092</v>
      </c>
      <c r="O139" s="29">
        <f t="shared" si="5"/>
        <v>26.0092</v>
      </c>
    </row>
    <row r="140" spans="1:15" x14ac:dyDescent="0.25">
      <c r="A140" s="30">
        <v>126</v>
      </c>
      <c r="B140" s="30">
        <v>674281</v>
      </c>
      <c r="C140" s="31">
        <v>7896676442670</v>
      </c>
      <c r="D140" s="32" t="s">
        <v>186</v>
      </c>
      <c r="E140" s="32" t="s">
        <v>86</v>
      </c>
      <c r="F140" s="30">
        <v>1</v>
      </c>
      <c r="G140" s="22"/>
      <c r="H140" s="23"/>
      <c r="I140" s="24"/>
      <c r="J140" s="33" t="str">
        <f t="shared" si="3"/>
        <v/>
      </c>
      <c r="K140" s="26">
        <v>37</v>
      </c>
      <c r="L140" s="27">
        <v>19.600000000000001</v>
      </c>
      <c r="M140" s="28">
        <v>0</v>
      </c>
      <c r="N140" s="27">
        <f t="shared" si="4"/>
        <v>19.600000000000001</v>
      </c>
      <c r="O140" s="29">
        <f t="shared" si="5"/>
        <v>19.600000000000001</v>
      </c>
    </row>
    <row r="141" spans="1:15" x14ac:dyDescent="0.25">
      <c r="A141" s="19">
        <v>127</v>
      </c>
      <c r="B141" s="19">
        <v>515861</v>
      </c>
      <c r="C141" s="20">
        <v>7896676438062</v>
      </c>
      <c r="D141" s="21" t="s">
        <v>187</v>
      </c>
      <c r="E141" s="21" t="s">
        <v>52</v>
      </c>
      <c r="F141" s="19">
        <v>1</v>
      </c>
      <c r="G141" s="22"/>
      <c r="H141" s="23"/>
      <c r="I141" s="24"/>
      <c r="J141" s="25" t="str">
        <f t="shared" si="3"/>
        <v/>
      </c>
      <c r="K141" s="34">
        <v>0</v>
      </c>
      <c r="L141" s="27">
        <v>0</v>
      </c>
      <c r="M141" s="28">
        <v>0</v>
      </c>
      <c r="N141" s="27">
        <f t="shared" si="4"/>
        <v>0</v>
      </c>
      <c r="O141" s="29">
        <f t="shared" si="5"/>
        <v>0</v>
      </c>
    </row>
    <row r="142" spans="1:15" x14ac:dyDescent="0.25">
      <c r="A142" s="30">
        <v>128</v>
      </c>
      <c r="B142" s="30">
        <v>560901</v>
      </c>
      <c r="C142" s="31">
        <v>7896658027796</v>
      </c>
      <c r="D142" s="32" t="s">
        <v>188</v>
      </c>
      <c r="E142" s="32" t="s">
        <v>42</v>
      </c>
      <c r="F142" s="30">
        <v>8</v>
      </c>
      <c r="G142" s="22"/>
      <c r="H142" s="23"/>
      <c r="I142" s="24"/>
      <c r="J142" s="33" t="str">
        <f t="shared" si="3"/>
        <v/>
      </c>
      <c r="K142" s="26">
        <v>701</v>
      </c>
      <c r="L142" s="27">
        <v>106.97</v>
      </c>
      <c r="M142" s="28">
        <v>0.02</v>
      </c>
      <c r="N142" s="27">
        <f t="shared" si="4"/>
        <v>104.8306</v>
      </c>
      <c r="O142" s="29">
        <f t="shared" si="5"/>
        <v>838.64480000000003</v>
      </c>
    </row>
    <row r="143" spans="1:15" x14ac:dyDescent="0.25">
      <c r="A143" s="19">
        <v>129</v>
      </c>
      <c r="B143" s="19">
        <v>230641</v>
      </c>
      <c r="C143" s="20">
        <v>7896015523398</v>
      </c>
      <c r="D143" s="21" t="s">
        <v>189</v>
      </c>
      <c r="E143" s="21" t="s">
        <v>38</v>
      </c>
      <c r="F143" s="19">
        <v>5</v>
      </c>
      <c r="G143" s="22"/>
      <c r="H143" s="23"/>
      <c r="I143" s="24"/>
      <c r="J143" s="25" t="str">
        <f t="shared" ref="J143:J206" si="6">IF(G143="","",F143*G143)</f>
        <v/>
      </c>
      <c r="K143" s="26">
        <v>3156</v>
      </c>
      <c r="L143" s="27">
        <v>122.3</v>
      </c>
      <c r="M143" s="28">
        <v>1.4999999999999999E-2</v>
      </c>
      <c r="N143" s="27">
        <f t="shared" si="4"/>
        <v>120.46549999999999</v>
      </c>
      <c r="O143" s="29">
        <f t="shared" si="5"/>
        <v>602.32749999999999</v>
      </c>
    </row>
    <row r="144" spans="1:15" x14ac:dyDescent="0.25">
      <c r="A144" s="30">
        <v>130</v>
      </c>
      <c r="B144" s="30">
        <v>641601</v>
      </c>
      <c r="C144" s="31">
        <v>7896026173018</v>
      </c>
      <c r="D144" s="32" t="s">
        <v>190</v>
      </c>
      <c r="E144" s="32"/>
      <c r="F144" s="30">
        <v>7</v>
      </c>
      <c r="G144" s="22"/>
      <c r="H144" s="23"/>
      <c r="I144" s="24"/>
      <c r="J144" s="33" t="str">
        <f t="shared" si="6"/>
        <v/>
      </c>
      <c r="K144" s="26">
        <v>254</v>
      </c>
      <c r="L144" s="27">
        <v>31.89</v>
      </c>
      <c r="M144" s="28">
        <v>0.04</v>
      </c>
      <c r="N144" s="27">
        <f t="shared" ref="N144:N207" si="7">L144-(L144*M144)</f>
        <v>30.6144</v>
      </c>
      <c r="O144" s="29">
        <f t="shared" ref="O144:O207" si="8">N144*F144</f>
        <v>214.30080000000001</v>
      </c>
    </row>
    <row r="145" spans="1:15" x14ac:dyDescent="0.25">
      <c r="A145" s="19">
        <v>131</v>
      </c>
      <c r="B145" s="19">
        <v>6561</v>
      </c>
      <c r="C145" s="20">
        <v>7894916502900</v>
      </c>
      <c r="D145" s="21" t="s">
        <v>191</v>
      </c>
      <c r="E145" s="21" t="s">
        <v>122</v>
      </c>
      <c r="F145" s="19">
        <v>4</v>
      </c>
      <c r="G145" s="22"/>
      <c r="H145" s="23"/>
      <c r="I145" s="24"/>
      <c r="J145" s="25" t="str">
        <f t="shared" si="6"/>
        <v/>
      </c>
      <c r="K145" s="26">
        <v>1858</v>
      </c>
      <c r="L145" s="27">
        <v>25.47</v>
      </c>
      <c r="M145" s="28">
        <v>0.02</v>
      </c>
      <c r="N145" s="27">
        <f t="shared" si="7"/>
        <v>24.960599999999999</v>
      </c>
      <c r="O145" s="29">
        <f t="shared" si="8"/>
        <v>99.842399999999998</v>
      </c>
    </row>
    <row r="146" spans="1:15" x14ac:dyDescent="0.25">
      <c r="A146" s="30">
        <v>132</v>
      </c>
      <c r="B146" s="30">
        <v>550761</v>
      </c>
      <c r="C146" s="31">
        <v>7896015592707</v>
      </c>
      <c r="D146" s="32" t="s">
        <v>192</v>
      </c>
      <c r="E146" s="32" t="s">
        <v>135</v>
      </c>
      <c r="F146" s="30">
        <v>1</v>
      </c>
      <c r="G146" s="22"/>
      <c r="H146" s="23"/>
      <c r="I146" s="24"/>
      <c r="J146" s="33" t="str">
        <f t="shared" si="6"/>
        <v/>
      </c>
      <c r="K146" s="34">
        <v>0</v>
      </c>
      <c r="L146" s="27">
        <v>0</v>
      </c>
      <c r="M146" s="28">
        <v>0</v>
      </c>
      <c r="N146" s="27">
        <f t="shared" si="7"/>
        <v>0</v>
      </c>
      <c r="O146" s="29">
        <f t="shared" si="8"/>
        <v>0</v>
      </c>
    </row>
    <row r="147" spans="1:15" x14ac:dyDescent="0.25">
      <c r="A147" s="19">
        <v>133</v>
      </c>
      <c r="B147" s="19">
        <v>655361</v>
      </c>
      <c r="C147" s="20">
        <v>7896004822013</v>
      </c>
      <c r="D147" s="21" t="s">
        <v>193</v>
      </c>
      <c r="E147" s="21" t="s">
        <v>194</v>
      </c>
      <c r="F147" s="19">
        <v>1</v>
      </c>
      <c r="G147" s="22"/>
      <c r="H147" s="23"/>
      <c r="I147" s="24"/>
      <c r="J147" s="25" t="str">
        <f t="shared" si="6"/>
        <v/>
      </c>
      <c r="K147" s="26">
        <v>0</v>
      </c>
      <c r="L147" s="27">
        <v>42.68</v>
      </c>
      <c r="M147" s="28">
        <v>0</v>
      </c>
      <c r="N147" s="27">
        <f t="shared" si="7"/>
        <v>42.68</v>
      </c>
      <c r="O147" s="29">
        <f t="shared" si="8"/>
        <v>42.68</v>
      </c>
    </row>
    <row r="148" spans="1:15" x14ac:dyDescent="0.25">
      <c r="A148" s="30">
        <v>134</v>
      </c>
      <c r="B148" s="30">
        <v>615281</v>
      </c>
      <c r="C148" s="31">
        <v>4005900945693</v>
      </c>
      <c r="D148" s="32" t="s">
        <v>195</v>
      </c>
      <c r="E148" s="32" t="s">
        <v>131</v>
      </c>
      <c r="F148" s="30">
        <v>1</v>
      </c>
      <c r="G148" s="22"/>
      <c r="H148" s="23"/>
      <c r="I148" s="24"/>
      <c r="J148" s="33" t="str">
        <f t="shared" si="6"/>
        <v/>
      </c>
      <c r="K148" s="26">
        <v>0</v>
      </c>
      <c r="L148" s="27">
        <v>42.99</v>
      </c>
      <c r="M148" s="28">
        <v>0</v>
      </c>
      <c r="N148" s="27">
        <f t="shared" si="7"/>
        <v>42.99</v>
      </c>
      <c r="O148" s="29">
        <f t="shared" si="8"/>
        <v>42.99</v>
      </c>
    </row>
    <row r="149" spans="1:15" x14ac:dyDescent="0.25">
      <c r="A149" s="19">
        <v>135</v>
      </c>
      <c r="B149" s="19">
        <v>597201</v>
      </c>
      <c r="C149" s="20">
        <v>42398004</v>
      </c>
      <c r="D149" s="21" t="s">
        <v>196</v>
      </c>
      <c r="E149" s="21" t="s">
        <v>131</v>
      </c>
      <c r="F149" s="19">
        <v>4</v>
      </c>
      <c r="G149" s="22"/>
      <c r="H149" s="23"/>
      <c r="I149" s="24"/>
      <c r="J149" s="25" t="str">
        <f t="shared" si="6"/>
        <v/>
      </c>
      <c r="K149" s="26">
        <v>622</v>
      </c>
      <c r="L149" s="27">
        <v>30.16</v>
      </c>
      <c r="M149" s="28">
        <v>0</v>
      </c>
      <c r="N149" s="27">
        <f t="shared" si="7"/>
        <v>30.16</v>
      </c>
      <c r="O149" s="29">
        <f t="shared" si="8"/>
        <v>120.64</v>
      </c>
    </row>
    <row r="150" spans="1:15" x14ac:dyDescent="0.25">
      <c r="A150" s="30">
        <v>136</v>
      </c>
      <c r="B150" s="30">
        <v>594521</v>
      </c>
      <c r="C150" s="31">
        <v>42360407</v>
      </c>
      <c r="D150" s="32" t="s">
        <v>197</v>
      </c>
      <c r="E150" s="32" t="s">
        <v>131</v>
      </c>
      <c r="F150" s="30">
        <v>5</v>
      </c>
      <c r="G150" s="22"/>
      <c r="H150" s="23"/>
      <c r="I150" s="24"/>
      <c r="J150" s="33" t="str">
        <f t="shared" si="6"/>
        <v/>
      </c>
      <c r="K150" s="26">
        <v>467</v>
      </c>
      <c r="L150" s="27">
        <v>30.16</v>
      </c>
      <c r="M150" s="28">
        <v>0</v>
      </c>
      <c r="N150" s="27">
        <f t="shared" si="7"/>
        <v>30.16</v>
      </c>
      <c r="O150" s="29">
        <f t="shared" si="8"/>
        <v>150.80000000000001</v>
      </c>
    </row>
    <row r="151" spans="1:15" x14ac:dyDescent="0.25">
      <c r="A151" s="19">
        <v>137</v>
      </c>
      <c r="B151" s="19">
        <v>556501</v>
      </c>
      <c r="C151" s="20">
        <v>42277217</v>
      </c>
      <c r="D151" s="21" t="s">
        <v>198</v>
      </c>
      <c r="E151" s="21" t="s">
        <v>131</v>
      </c>
      <c r="F151" s="19">
        <v>19</v>
      </c>
      <c r="G151" s="22"/>
      <c r="H151" s="23"/>
      <c r="I151" s="24"/>
      <c r="J151" s="25" t="str">
        <f t="shared" si="6"/>
        <v/>
      </c>
      <c r="K151" s="26">
        <v>2596</v>
      </c>
      <c r="L151" s="27">
        <v>15.33</v>
      </c>
      <c r="M151" s="28">
        <v>0</v>
      </c>
      <c r="N151" s="27">
        <f t="shared" si="7"/>
        <v>15.33</v>
      </c>
      <c r="O151" s="29">
        <f t="shared" si="8"/>
        <v>291.27</v>
      </c>
    </row>
    <row r="152" spans="1:15" x14ac:dyDescent="0.25">
      <c r="A152" s="30">
        <v>138</v>
      </c>
      <c r="B152" s="30">
        <v>413841</v>
      </c>
      <c r="C152" s="31">
        <v>7896070600249</v>
      </c>
      <c r="D152" s="32" t="s">
        <v>199</v>
      </c>
      <c r="E152" s="32" t="s">
        <v>200</v>
      </c>
      <c r="F152" s="30">
        <v>1</v>
      </c>
      <c r="G152" s="22"/>
      <c r="H152" s="23"/>
      <c r="I152" s="24"/>
      <c r="J152" s="33" t="str">
        <f t="shared" si="6"/>
        <v/>
      </c>
      <c r="K152" s="34">
        <v>0</v>
      </c>
      <c r="L152" s="27">
        <v>0</v>
      </c>
      <c r="M152" s="28">
        <v>0</v>
      </c>
      <c r="N152" s="27">
        <f t="shared" si="7"/>
        <v>0</v>
      </c>
      <c r="O152" s="29">
        <f t="shared" si="8"/>
        <v>0</v>
      </c>
    </row>
    <row r="153" spans="1:15" x14ac:dyDescent="0.25">
      <c r="A153" s="19">
        <v>139</v>
      </c>
      <c r="B153" s="19">
        <v>463461</v>
      </c>
      <c r="C153" s="20">
        <v>7891317136468</v>
      </c>
      <c r="D153" s="21" t="s">
        <v>201</v>
      </c>
      <c r="E153" s="21" t="s">
        <v>40</v>
      </c>
      <c r="F153" s="19">
        <v>2</v>
      </c>
      <c r="G153" s="22"/>
      <c r="H153" s="23"/>
      <c r="I153" s="24"/>
      <c r="J153" s="25" t="str">
        <f t="shared" si="6"/>
        <v/>
      </c>
      <c r="K153" s="26">
        <v>370</v>
      </c>
      <c r="L153" s="27">
        <v>41.28</v>
      </c>
      <c r="M153" s="28">
        <v>0.02</v>
      </c>
      <c r="N153" s="27">
        <f t="shared" si="7"/>
        <v>40.4544</v>
      </c>
      <c r="O153" s="29">
        <f t="shared" si="8"/>
        <v>80.908799999999999</v>
      </c>
    </row>
    <row r="154" spans="1:15" x14ac:dyDescent="0.25">
      <c r="A154" s="30">
        <v>140</v>
      </c>
      <c r="B154" s="30">
        <v>605281</v>
      </c>
      <c r="C154" s="31">
        <v>7893454714783</v>
      </c>
      <c r="D154" s="32" t="s">
        <v>202</v>
      </c>
      <c r="E154" s="32" t="s">
        <v>104</v>
      </c>
      <c r="F154" s="30">
        <v>1</v>
      </c>
      <c r="G154" s="22"/>
      <c r="H154" s="23"/>
      <c r="I154" s="24"/>
      <c r="J154" s="33" t="str">
        <f t="shared" si="6"/>
        <v/>
      </c>
      <c r="K154" s="34">
        <v>0</v>
      </c>
      <c r="L154" s="27">
        <v>0</v>
      </c>
      <c r="M154" s="28">
        <v>0</v>
      </c>
      <c r="N154" s="27">
        <f t="shared" si="7"/>
        <v>0</v>
      </c>
      <c r="O154" s="29">
        <f t="shared" si="8"/>
        <v>0</v>
      </c>
    </row>
    <row r="155" spans="1:15" x14ac:dyDescent="0.25">
      <c r="A155" s="19">
        <v>141</v>
      </c>
      <c r="B155" s="19">
        <v>626861</v>
      </c>
      <c r="C155" s="20">
        <v>7893454714776</v>
      </c>
      <c r="D155" s="21" t="s">
        <v>203</v>
      </c>
      <c r="E155" s="21" t="s">
        <v>104</v>
      </c>
      <c r="F155" s="19">
        <v>1</v>
      </c>
      <c r="G155" s="22"/>
      <c r="H155" s="23"/>
      <c r="I155" s="24"/>
      <c r="J155" s="25" t="str">
        <f t="shared" si="6"/>
        <v/>
      </c>
      <c r="K155" s="34">
        <v>0</v>
      </c>
      <c r="L155" s="27">
        <v>0</v>
      </c>
      <c r="M155" s="28">
        <v>0.02</v>
      </c>
      <c r="N155" s="27">
        <f t="shared" si="7"/>
        <v>0</v>
      </c>
      <c r="O155" s="29">
        <f t="shared" si="8"/>
        <v>0</v>
      </c>
    </row>
    <row r="156" spans="1:15" x14ac:dyDescent="0.25">
      <c r="A156" s="30">
        <v>142</v>
      </c>
      <c r="B156" s="30">
        <v>651401</v>
      </c>
      <c r="C156" s="31">
        <v>7896676440508</v>
      </c>
      <c r="D156" s="32" t="s">
        <v>204</v>
      </c>
      <c r="E156" s="32" t="s">
        <v>205</v>
      </c>
      <c r="F156" s="30">
        <v>1</v>
      </c>
      <c r="G156" s="22"/>
      <c r="H156" s="23"/>
      <c r="I156" s="24"/>
      <c r="J156" s="33" t="str">
        <f t="shared" si="6"/>
        <v/>
      </c>
      <c r="K156" s="26">
        <v>0</v>
      </c>
      <c r="L156" s="27">
        <v>17.73</v>
      </c>
      <c r="M156" s="28">
        <v>0</v>
      </c>
      <c r="N156" s="27">
        <f t="shared" si="7"/>
        <v>17.73</v>
      </c>
      <c r="O156" s="29">
        <f t="shared" si="8"/>
        <v>17.73</v>
      </c>
    </row>
    <row r="157" spans="1:15" x14ac:dyDescent="0.25">
      <c r="A157" s="19">
        <v>143</v>
      </c>
      <c r="B157" s="19">
        <v>605211</v>
      </c>
      <c r="C157" s="20">
        <v>7896316101424</v>
      </c>
      <c r="D157" s="21" t="s">
        <v>206</v>
      </c>
      <c r="E157" s="21" t="s">
        <v>207</v>
      </c>
      <c r="F157" s="19">
        <v>6</v>
      </c>
      <c r="G157" s="22"/>
      <c r="H157" s="23"/>
      <c r="I157" s="24"/>
      <c r="J157" s="25" t="str">
        <f t="shared" si="6"/>
        <v/>
      </c>
      <c r="K157" s="26">
        <v>0</v>
      </c>
      <c r="L157" s="27">
        <v>34.07</v>
      </c>
      <c r="M157" s="28">
        <v>0</v>
      </c>
      <c r="N157" s="27">
        <f t="shared" si="7"/>
        <v>34.07</v>
      </c>
      <c r="O157" s="29">
        <f t="shared" si="8"/>
        <v>204.42000000000002</v>
      </c>
    </row>
    <row r="158" spans="1:15" x14ac:dyDescent="0.25">
      <c r="A158" s="30">
        <v>144</v>
      </c>
      <c r="B158" s="30">
        <v>226061</v>
      </c>
      <c r="C158" s="31">
        <v>5702191007916</v>
      </c>
      <c r="D158" s="32" t="s">
        <v>208</v>
      </c>
      <c r="E158" s="32" t="s">
        <v>93</v>
      </c>
      <c r="F158" s="30">
        <v>2</v>
      </c>
      <c r="G158" s="22"/>
      <c r="H158" s="23"/>
      <c r="I158" s="24"/>
      <c r="J158" s="33" t="str">
        <f t="shared" si="6"/>
        <v/>
      </c>
      <c r="K158" s="26">
        <v>0</v>
      </c>
      <c r="L158" s="27">
        <v>121.19</v>
      </c>
      <c r="M158" s="28">
        <v>0</v>
      </c>
      <c r="N158" s="27">
        <f t="shared" si="7"/>
        <v>121.19</v>
      </c>
      <c r="O158" s="29">
        <f t="shared" si="8"/>
        <v>242.38</v>
      </c>
    </row>
    <row r="159" spans="1:15" x14ac:dyDescent="0.25">
      <c r="A159" s="19">
        <v>145</v>
      </c>
      <c r="B159" s="19">
        <v>347821</v>
      </c>
      <c r="C159" s="20">
        <v>7896212479825</v>
      </c>
      <c r="D159" s="21" t="s">
        <v>209</v>
      </c>
      <c r="E159" s="21" t="s">
        <v>99</v>
      </c>
      <c r="F159" s="19">
        <v>1</v>
      </c>
      <c r="G159" s="22"/>
      <c r="H159" s="23"/>
      <c r="I159" s="24"/>
      <c r="J159" s="25" t="str">
        <f t="shared" si="6"/>
        <v/>
      </c>
      <c r="K159" s="34">
        <v>0</v>
      </c>
      <c r="L159" s="27">
        <v>0</v>
      </c>
      <c r="M159" s="28">
        <v>0</v>
      </c>
      <c r="N159" s="27">
        <f t="shared" si="7"/>
        <v>0</v>
      </c>
      <c r="O159" s="29">
        <f t="shared" si="8"/>
        <v>0</v>
      </c>
    </row>
    <row r="160" spans="1:15" x14ac:dyDescent="0.25">
      <c r="A160" s="30">
        <v>146</v>
      </c>
      <c r="B160" s="30">
        <v>238881</v>
      </c>
      <c r="C160" s="31">
        <v>7894916508988</v>
      </c>
      <c r="D160" s="32" t="s">
        <v>210</v>
      </c>
      <c r="E160" s="32" t="s">
        <v>122</v>
      </c>
      <c r="F160" s="30">
        <v>1</v>
      </c>
      <c r="G160" s="22"/>
      <c r="H160" s="23"/>
      <c r="I160" s="24"/>
      <c r="J160" s="33" t="str">
        <f t="shared" si="6"/>
        <v/>
      </c>
      <c r="K160" s="26">
        <v>48</v>
      </c>
      <c r="L160" s="27">
        <v>49.99</v>
      </c>
      <c r="M160" s="28">
        <v>0.02</v>
      </c>
      <c r="N160" s="27">
        <f t="shared" si="7"/>
        <v>48.990200000000002</v>
      </c>
      <c r="O160" s="29">
        <f t="shared" si="8"/>
        <v>48.990200000000002</v>
      </c>
    </row>
    <row r="161" spans="1:15" x14ac:dyDescent="0.25">
      <c r="A161" s="19">
        <v>147</v>
      </c>
      <c r="B161" s="19">
        <v>329681</v>
      </c>
      <c r="C161" s="20">
        <v>7896658001918</v>
      </c>
      <c r="D161" s="21" t="s">
        <v>211</v>
      </c>
      <c r="E161" s="21" t="s">
        <v>42</v>
      </c>
      <c r="F161" s="19">
        <v>5</v>
      </c>
      <c r="G161" s="22"/>
      <c r="H161" s="23"/>
      <c r="I161" s="24"/>
      <c r="J161" s="25" t="str">
        <f t="shared" si="6"/>
        <v/>
      </c>
      <c r="K161" s="26">
        <v>7893</v>
      </c>
      <c r="L161" s="27">
        <v>21.3</v>
      </c>
      <c r="M161" s="28">
        <v>0.02</v>
      </c>
      <c r="N161" s="27">
        <f t="shared" si="7"/>
        <v>20.874000000000002</v>
      </c>
      <c r="O161" s="29">
        <f t="shared" si="8"/>
        <v>104.37</v>
      </c>
    </row>
    <row r="162" spans="1:15" x14ac:dyDescent="0.25">
      <c r="A162" s="30">
        <v>148</v>
      </c>
      <c r="B162" s="30">
        <v>18903</v>
      </c>
      <c r="C162" s="31">
        <v>7896658049620</v>
      </c>
      <c r="D162" s="32" t="s">
        <v>212</v>
      </c>
      <c r="E162" s="32"/>
      <c r="F162" s="30">
        <v>4</v>
      </c>
      <c r="G162" s="22"/>
      <c r="H162" s="23"/>
      <c r="I162" s="24"/>
      <c r="J162" s="33" t="str">
        <f t="shared" si="6"/>
        <v/>
      </c>
      <c r="K162" s="26">
        <v>177</v>
      </c>
      <c r="L162" s="27">
        <v>23.6</v>
      </c>
      <c r="M162" s="28">
        <v>0.02</v>
      </c>
      <c r="N162" s="27">
        <f t="shared" si="7"/>
        <v>23.128</v>
      </c>
      <c r="O162" s="29">
        <f t="shared" si="8"/>
        <v>92.512</v>
      </c>
    </row>
    <row r="163" spans="1:15" x14ac:dyDescent="0.25">
      <c r="A163" s="19">
        <v>149</v>
      </c>
      <c r="B163" s="19">
        <v>6581</v>
      </c>
      <c r="C163" s="20">
        <v>7891268101799</v>
      </c>
      <c r="D163" s="21" t="s">
        <v>213</v>
      </c>
      <c r="E163" s="21" t="s">
        <v>214</v>
      </c>
      <c r="F163" s="19">
        <v>3</v>
      </c>
      <c r="G163" s="22"/>
      <c r="H163" s="23"/>
      <c r="I163" s="24"/>
      <c r="J163" s="25" t="str">
        <f t="shared" si="6"/>
        <v/>
      </c>
      <c r="K163" s="26">
        <v>538</v>
      </c>
      <c r="L163" s="27">
        <v>37.35</v>
      </c>
      <c r="M163" s="28">
        <v>0.03</v>
      </c>
      <c r="N163" s="27">
        <f t="shared" si="7"/>
        <v>36.229500000000002</v>
      </c>
      <c r="O163" s="29">
        <f t="shared" si="8"/>
        <v>108.6885</v>
      </c>
    </row>
    <row r="164" spans="1:15" x14ac:dyDescent="0.25">
      <c r="A164" s="30">
        <v>150</v>
      </c>
      <c r="B164" s="30">
        <v>6601</v>
      </c>
      <c r="C164" s="31">
        <v>7891268101782</v>
      </c>
      <c r="D164" s="32" t="s">
        <v>215</v>
      </c>
      <c r="E164" s="32" t="s">
        <v>214</v>
      </c>
      <c r="F164" s="30">
        <v>1</v>
      </c>
      <c r="G164" s="22"/>
      <c r="H164" s="23"/>
      <c r="I164" s="24"/>
      <c r="J164" s="33" t="str">
        <f t="shared" si="6"/>
        <v/>
      </c>
      <c r="K164" s="26">
        <v>159</v>
      </c>
      <c r="L164" s="27">
        <v>48.4</v>
      </c>
      <c r="M164" s="28">
        <v>0.03</v>
      </c>
      <c r="N164" s="27">
        <f t="shared" si="7"/>
        <v>46.948</v>
      </c>
      <c r="O164" s="29">
        <f t="shared" si="8"/>
        <v>46.948</v>
      </c>
    </row>
    <row r="165" spans="1:15" x14ac:dyDescent="0.25">
      <c r="A165" s="19">
        <v>151</v>
      </c>
      <c r="B165" s="19">
        <v>623211</v>
      </c>
      <c r="C165" s="20">
        <v>7899706126335</v>
      </c>
      <c r="D165" s="21" t="s">
        <v>216</v>
      </c>
      <c r="E165" s="21" t="s">
        <v>217</v>
      </c>
      <c r="F165" s="19">
        <v>1</v>
      </c>
      <c r="G165" s="22"/>
      <c r="H165" s="23"/>
      <c r="I165" s="24"/>
      <c r="J165" s="25" t="str">
        <f t="shared" si="6"/>
        <v/>
      </c>
      <c r="K165" s="26">
        <v>221</v>
      </c>
      <c r="L165" s="27">
        <v>23.43</v>
      </c>
      <c r="M165" s="28">
        <v>0</v>
      </c>
      <c r="N165" s="27">
        <f t="shared" si="7"/>
        <v>23.43</v>
      </c>
      <c r="O165" s="29">
        <f t="shared" si="8"/>
        <v>23.43</v>
      </c>
    </row>
    <row r="166" spans="1:15" x14ac:dyDescent="0.25">
      <c r="A166" s="30">
        <v>152</v>
      </c>
      <c r="B166" s="30">
        <v>630151</v>
      </c>
      <c r="C166" s="31">
        <v>7896026172066</v>
      </c>
      <c r="D166" s="32" t="s">
        <v>218</v>
      </c>
      <c r="E166" s="32" t="s">
        <v>117</v>
      </c>
      <c r="F166" s="30">
        <v>1</v>
      </c>
      <c r="G166" s="22"/>
      <c r="H166" s="23"/>
      <c r="I166" s="24"/>
      <c r="J166" s="33" t="str">
        <f t="shared" si="6"/>
        <v/>
      </c>
      <c r="K166" s="26">
        <v>103</v>
      </c>
      <c r="L166" s="27">
        <v>52.75</v>
      </c>
      <c r="M166" s="28">
        <v>0.03</v>
      </c>
      <c r="N166" s="27">
        <f t="shared" si="7"/>
        <v>51.167499999999997</v>
      </c>
      <c r="O166" s="29">
        <f t="shared" si="8"/>
        <v>51.167499999999997</v>
      </c>
    </row>
    <row r="167" spans="1:15" x14ac:dyDescent="0.25">
      <c r="A167" s="19">
        <v>153</v>
      </c>
      <c r="B167" s="19">
        <v>553521</v>
      </c>
      <c r="C167" s="20">
        <v>7898087340040</v>
      </c>
      <c r="D167" s="21" t="s">
        <v>219</v>
      </c>
      <c r="E167" s="21" t="s">
        <v>124</v>
      </c>
      <c r="F167" s="19">
        <v>2</v>
      </c>
      <c r="G167" s="22"/>
      <c r="H167" s="23"/>
      <c r="I167" s="24"/>
      <c r="J167" s="25" t="str">
        <f t="shared" si="6"/>
        <v/>
      </c>
      <c r="K167" s="26">
        <v>129</v>
      </c>
      <c r="L167" s="27">
        <v>48.08</v>
      </c>
      <c r="M167" s="28">
        <v>0.03</v>
      </c>
      <c r="N167" s="27">
        <f t="shared" si="7"/>
        <v>46.637599999999999</v>
      </c>
      <c r="O167" s="29">
        <f t="shared" si="8"/>
        <v>93.275199999999998</v>
      </c>
    </row>
    <row r="168" spans="1:15" x14ac:dyDescent="0.25">
      <c r="A168" s="30">
        <v>154</v>
      </c>
      <c r="B168" s="30">
        <v>604381</v>
      </c>
      <c r="C168" s="31">
        <v>4005808310999</v>
      </c>
      <c r="D168" s="32" t="s">
        <v>220</v>
      </c>
      <c r="E168" s="32" t="s">
        <v>131</v>
      </c>
      <c r="F168" s="30">
        <v>5</v>
      </c>
      <c r="G168" s="22"/>
      <c r="H168" s="23"/>
      <c r="I168" s="24"/>
      <c r="J168" s="33" t="str">
        <f t="shared" si="6"/>
        <v/>
      </c>
      <c r="K168" s="26">
        <v>278</v>
      </c>
      <c r="L168" s="27">
        <v>15.93</v>
      </c>
      <c r="M168" s="28">
        <v>0</v>
      </c>
      <c r="N168" s="27">
        <f t="shared" si="7"/>
        <v>15.93</v>
      </c>
      <c r="O168" s="29">
        <f t="shared" si="8"/>
        <v>79.650000000000006</v>
      </c>
    </row>
    <row r="169" spans="1:15" x14ac:dyDescent="0.25">
      <c r="A169" s="19">
        <v>155</v>
      </c>
      <c r="B169" s="19">
        <v>41803</v>
      </c>
      <c r="C169" s="20">
        <v>7891721024481</v>
      </c>
      <c r="D169" s="21" t="s">
        <v>221</v>
      </c>
      <c r="E169" s="21" t="s">
        <v>222</v>
      </c>
      <c r="F169" s="19">
        <v>1</v>
      </c>
      <c r="G169" s="22"/>
      <c r="H169" s="23"/>
      <c r="I169" s="24"/>
      <c r="J169" s="25" t="str">
        <f t="shared" si="6"/>
        <v/>
      </c>
      <c r="K169" s="26">
        <v>1721</v>
      </c>
      <c r="L169" s="27">
        <v>41.37</v>
      </c>
      <c r="M169" s="28">
        <v>0.05</v>
      </c>
      <c r="N169" s="27">
        <f t="shared" si="7"/>
        <v>39.301499999999997</v>
      </c>
      <c r="O169" s="29">
        <f t="shared" si="8"/>
        <v>39.301499999999997</v>
      </c>
    </row>
    <row r="170" spans="1:15" x14ac:dyDescent="0.25">
      <c r="A170" s="30">
        <v>156</v>
      </c>
      <c r="B170" s="30">
        <v>207901</v>
      </c>
      <c r="C170" s="31">
        <v>7896641808982</v>
      </c>
      <c r="D170" s="32" t="s">
        <v>223</v>
      </c>
      <c r="E170" s="32" t="s">
        <v>224</v>
      </c>
      <c r="F170" s="30">
        <v>6</v>
      </c>
      <c r="G170" s="22"/>
      <c r="H170" s="23"/>
      <c r="I170" s="24"/>
      <c r="J170" s="33" t="str">
        <f t="shared" si="6"/>
        <v/>
      </c>
      <c r="K170" s="26">
        <v>284</v>
      </c>
      <c r="L170" s="27">
        <v>101.65</v>
      </c>
      <c r="M170" s="28">
        <v>0</v>
      </c>
      <c r="N170" s="27">
        <f t="shared" si="7"/>
        <v>101.65</v>
      </c>
      <c r="O170" s="29">
        <f t="shared" si="8"/>
        <v>609.90000000000009</v>
      </c>
    </row>
    <row r="171" spans="1:15" x14ac:dyDescent="0.25">
      <c r="A171" s="19">
        <v>157</v>
      </c>
      <c r="B171" s="19">
        <v>207821</v>
      </c>
      <c r="C171" s="20">
        <v>7896641809026</v>
      </c>
      <c r="D171" s="21" t="s">
        <v>225</v>
      </c>
      <c r="E171" s="21" t="s">
        <v>224</v>
      </c>
      <c r="F171" s="19">
        <v>4</v>
      </c>
      <c r="G171" s="22"/>
      <c r="H171" s="23"/>
      <c r="I171" s="24"/>
      <c r="J171" s="25" t="str">
        <f t="shared" si="6"/>
        <v/>
      </c>
      <c r="K171" s="26">
        <v>713</v>
      </c>
      <c r="L171" s="27">
        <v>101.65</v>
      </c>
      <c r="M171" s="28">
        <v>0</v>
      </c>
      <c r="N171" s="27">
        <f t="shared" si="7"/>
        <v>101.65</v>
      </c>
      <c r="O171" s="29">
        <f t="shared" si="8"/>
        <v>406.6</v>
      </c>
    </row>
    <row r="172" spans="1:15" x14ac:dyDescent="0.25">
      <c r="A172" s="30">
        <v>158</v>
      </c>
      <c r="B172" s="30">
        <v>4621</v>
      </c>
      <c r="C172" s="31">
        <v>7891721010026</v>
      </c>
      <c r="D172" s="32" t="s">
        <v>226</v>
      </c>
      <c r="E172" s="32" t="s">
        <v>227</v>
      </c>
      <c r="F172" s="30">
        <v>1</v>
      </c>
      <c r="G172" s="22"/>
      <c r="H172" s="23"/>
      <c r="I172" s="24"/>
      <c r="J172" s="33" t="str">
        <f t="shared" si="6"/>
        <v/>
      </c>
      <c r="K172" s="26">
        <v>484</v>
      </c>
      <c r="L172" s="27">
        <v>19.28</v>
      </c>
      <c r="M172" s="28">
        <v>0.02</v>
      </c>
      <c r="N172" s="27">
        <f t="shared" si="7"/>
        <v>18.894400000000001</v>
      </c>
      <c r="O172" s="29">
        <f t="shared" si="8"/>
        <v>18.894400000000001</v>
      </c>
    </row>
    <row r="173" spans="1:15" x14ac:dyDescent="0.25">
      <c r="A173" s="19">
        <v>159</v>
      </c>
      <c r="B173" s="19">
        <v>134841</v>
      </c>
      <c r="C173" s="20">
        <v>7898040322441</v>
      </c>
      <c r="D173" s="21" t="s">
        <v>228</v>
      </c>
      <c r="E173" s="21" t="s">
        <v>26</v>
      </c>
      <c r="F173" s="19">
        <v>1</v>
      </c>
      <c r="G173" s="22"/>
      <c r="H173" s="23"/>
      <c r="I173" s="24"/>
      <c r="J173" s="25" t="str">
        <f t="shared" si="6"/>
        <v/>
      </c>
      <c r="K173" s="26">
        <v>769</v>
      </c>
      <c r="L173" s="27">
        <v>42</v>
      </c>
      <c r="M173" s="28">
        <v>0.03</v>
      </c>
      <c r="N173" s="27">
        <f t="shared" si="7"/>
        <v>40.74</v>
      </c>
      <c r="O173" s="29">
        <f t="shared" si="8"/>
        <v>40.74</v>
      </c>
    </row>
    <row r="174" spans="1:15" x14ac:dyDescent="0.25">
      <c r="A174" s="30">
        <v>160</v>
      </c>
      <c r="B174" s="30">
        <v>142681</v>
      </c>
      <c r="C174" s="31">
        <v>7896004757957</v>
      </c>
      <c r="D174" s="32" t="s">
        <v>229</v>
      </c>
      <c r="E174" s="32" t="s">
        <v>230</v>
      </c>
      <c r="F174" s="30">
        <v>1</v>
      </c>
      <c r="G174" s="22"/>
      <c r="H174" s="23"/>
      <c r="I174" s="24"/>
      <c r="J174" s="33" t="str">
        <f t="shared" si="6"/>
        <v/>
      </c>
      <c r="K174" s="26">
        <v>404</v>
      </c>
      <c r="L174" s="27">
        <v>64.14</v>
      </c>
      <c r="M174" s="28">
        <v>0</v>
      </c>
      <c r="N174" s="27">
        <f t="shared" si="7"/>
        <v>64.14</v>
      </c>
      <c r="O174" s="29">
        <f t="shared" si="8"/>
        <v>64.14</v>
      </c>
    </row>
    <row r="175" spans="1:15" x14ac:dyDescent="0.25">
      <c r="A175" s="19">
        <v>161</v>
      </c>
      <c r="B175" s="19">
        <v>663061</v>
      </c>
      <c r="C175" s="20">
        <v>7891150096486</v>
      </c>
      <c r="D175" s="21" t="s">
        <v>231</v>
      </c>
      <c r="E175" s="21" t="s">
        <v>232</v>
      </c>
      <c r="F175" s="19">
        <v>2</v>
      </c>
      <c r="G175" s="22"/>
      <c r="H175" s="23"/>
      <c r="I175" s="24"/>
      <c r="J175" s="25" t="str">
        <f t="shared" si="6"/>
        <v/>
      </c>
      <c r="K175" s="34">
        <v>0</v>
      </c>
      <c r="L175" s="27">
        <v>0</v>
      </c>
      <c r="M175" s="28">
        <v>0</v>
      </c>
      <c r="N175" s="27">
        <f t="shared" si="7"/>
        <v>0</v>
      </c>
      <c r="O175" s="29">
        <f t="shared" si="8"/>
        <v>0</v>
      </c>
    </row>
    <row r="176" spans="1:15" x14ac:dyDescent="0.25">
      <c r="A176" s="30">
        <v>162</v>
      </c>
      <c r="B176" s="30">
        <v>666711</v>
      </c>
      <c r="C176" s="31">
        <v>7891317042202</v>
      </c>
      <c r="D176" s="32" t="s">
        <v>233</v>
      </c>
      <c r="E176" s="32" t="s">
        <v>40</v>
      </c>
      <c r="F176" s="30">
        <v>1</v>
      </c>
      <c r="G176" s="22"/>
      <c r="H176" s="23"/>
      <c r="I176" s="24"/>
      <c r="J176" s="33" t="str">
        <f t="shared" si="6"/>
        <v/>
      </c>
      <c r="K176" s="26">
        <v>753</v>
      </c>
      <c r="L176" s="27">
        <v>23.79</v>
      </c>
      <c r="M176" s="28">
        <v>0.02</v>
      </c>
      <c r="N176" s="27">
        <f t="shared" si="7"/>
        <v>23.3142</v>
      </c>
      <c r="O176" s="29">
        <f t="shared" si="8"/>
        <v>23.3142</v>
      </c>
    </row>
    <row r="177" spans="1:15" x14ac:dyDescent="0.25">
      <c r="A177" s="19">
        <v>163</v>
      </c>
      <c r="B177" s="19">
        <v>669071</v>
      </c>
      <c r="C177" s="20"/>
      <c r="D177" s="21" t="s">
        <v>234</v>
      </c>
      <c r="E177" s="21"/>
      <c r="F177" s="19">
        <v>1</v>
      </c>
      <c r="G177" s="22"/>
      <c r="H177" s="23"/>
      <c r="I177" s="24"/>
      <c r="J177" s="25" t="str">
        <f t="shared" si="6"/>
        <v/>
      </c>
      <c r="K177" s="34">
        <v>0</v>
      </c>
      <c r="L177" s="27">
        <v>0</v>
      </c>
      <c r="M177" s="28">
        <v>0</v>
      </c>
      <c r="N177" s="27">
        <f t="shared" si="7"/>
        <v>0</v>
      </c>
      <c r="O177" s="29">
        <f t="shared" si="8"/>
        <v>0</v>
      </c>
    </row>
    <row r="178" spans="1:15" x14ac:dyDescent="0.25">
      <c r="A178" s="30">
        <v>164</v>
      </c>
      <c r="B178" s="30">
        <v>655311</v>
      </c>
      <c r="C178" s="31">
        <v>7891317027179</v>
      </c>
      <c r="D178" s="32" t="s">
        <v>235</v>
      </c>
      <c r="E178" s="32" t="s">
        <v>40</v>
      </c>
      <c r="F178" s="30">
        <v>2</v>
      </c>
      <c r="G178" s="22"/>
      <c r="H178" s="23"/>
      <c r="I178" s="24"/>
      <c r="J178" s="33" t="str">
        <f t="shared" si="6"/>
        <v/>
      </c>
      <c r="K178" s="26">
        <v>0</v>
      </c>
      <c r="L178" s="27">
        <v>27.6</v>
      </c>
      <c r="M178" s="28">
        <v>0.02</v>
      </c>
      <c r="N178" s="27">
        <f t="shared" si="7"/>
        <v>27.048000000000002</v>
      </c>
      <c r="O178" s="29">
        <f t="shared" si="8"/>
        <v>54.096000000000004</v>
      </c>
    </row>
    <row r="179" spans="1:15" x14ac:dyDescent="0.25">
      <c r="A179" s="19">
        <v>165</v>
      </c>
      <c r="B179" s="19">
        <v>230701</v>
      </c>
      <c r="C179" s="20">
        <v>7892953003558</v>
      </c>
      <c r="D179" s="21" t="s">
        <v>236</v>
      </c>
      <c r="E179" s="21" t="s">
        <v>237</v>
      </c>
      <c r="F179" s="19">
        <v>10</v>
      </c>
      <c r="G179" s="22"/>
      <c r="H179" s="23"/>
      <c r="I179" s="24"/>
      <c r="J179" s="25" t="str">
        <f t="shared" si="6"/>
        <v/>
      </c>
      <c r="K179" s="26">
        <v>492</v>
      </c>
      <c r="L179" s="27">
        <v>95.91</v>
      </c>
      <c r="M179" s="28">
        <v>0.02</v>
      </c>
      <c r="N179" s="27">
        <f t="shared" si="7"/>
        <v>93.991799999999998</v>
      </c>
      <c r="O179" s="29">
        <f t="shared" si="8"/>
        <v>939.91800000000001</v>
      </c>
    </row>
    <row r="180" spans="1:15" x14ac:dyDescent="0.25">
      <c r="A180" s="30">
        <v>166</v>
      </c>
      <c r="B180" s="30">
        <v>230841</v>
      </c>
      <c r="C180" s="31">
        <v>7891317005351</v>
      </c>
      <c r="D180" s="32" t="s">
        <v>238</v>
      </c>
      <c r="E180" s="32" t="s">
        <v>40</v>
      </c>
      <c r="F180" s="30">
        <v>3</v>
      </c>
      <c r="G180" s="22"/>
      <c r="H180" s="23"/>
      <c r="I180" s="24"/>
      <c r="J180" s="33" t="str">
        <f t="shared" si="6"/>
        <v/>
      </c>
      <c r="K180" s="26">
        <v>138</v>
      </c>
      <c r="L180" s="27">
        <v>61.65</v>
      </c>
      <c r="M180" s="28">
        <v>0.02</v>
      </c>
      <c r="N180" s="27">
        <f t="shared" si="7"/>
        <v>60.417000000000002</v>
      </c>
      <c r="O180" s="29">
        <f t="shared" si="8"/>
        <v>181.251</v>
      </c>
    </row>
    <row r="181" spans="1:15" x14ac:dyDescent="0.25">
      <c r="A181" s="19">
        <v>167</v>
      </c>
      <c r="B181" s="19">
        <v>83081</v>
      </c>
      <c r="C181" s="20">
        <v>7896676433050</v>
      </c>
      <c r="D181" s="21" t="s">
        <v>239</v>
      </c>
      <c r="E181" s="21" t="s">
        <v>52</v>
      </c>
      <c r="F181" s="19">
        <v>7</v>
      </c>
      <c r="G181" s="22"/>
      <c r="H181" s="23"/>
      <c r="I181" s="24"/>
      <c r="J181" s="25" t="str">
        <f t="shared" si="6"/>
        <v/>
      </c>
      <c r="K181" s="26">
        <v>1395</v>
      </c>
      <c r="L181" s="27">
        <v>16.97</v>
      </c>
      <c r="M181" s="28">
        <v>0</v>
      </c>
      <c r="N181" s="27">
        <f t="shared" si="7"/>
        <v>16.97</v>
      </c>
      <c r="O181" s="29">
        <f t="shared" si="8"/>
        <v>118.78999999999999</v>
      </c>
    </row>
    <row r="182" spans="1:15" x14ac:dyDescent="0.25">
      <c r="A182" s="30">
        <v>168</v>
      </c>
      <c r="B182" s="30">
        <v>7003</v>
      </c>
      <c r="C182" s="31">
        <v>5000456096638</v>
      </c>
      <c r="D182" s="32" t="s">
        <v>240</v>
      </c>
      <c r="E182" s="32" t="s">
        <v>42</v>
      </c>
      <c r="F182" s="30">
        <v>40</v>
      </c>
      <c r="G182" s="22"/>
      <c r="H182" s="23"/>
      <c r="I182" s="24"/>
      <c r="J182" s="33" t="str">
        <f t="shared" si="6"/>
        <v/>
      </c>
      <c r="K182" s="26">
        <v>0</v>
      </c>
      <c r="L182" s="27">
        <v>78.83</v>
      </c>
      <c r="M182" s="28">
        <v>0.02</v>
      </c>
      <c r="N182" s="27">
        <f t="shared" si="7"/>
        <v>77.253399999999999</v>
      </c>
      <c r="O182" s="29">
        <f t="shared" si="8"/>
        <v>3090.136</v>
      </c>
    </row>
    <row r="183" spans="1:15" x14ac:dyDescent="0.25">
      <c r="A183" s="19">
        <v>169</v>
      </c>
      <c r="B183" s="19">
        <v>663891</v>
      </c>
      <c r="C183" s="20">
        <v>7899706155021</v>
      </c>
      <c r="D183" s="21" t="s">
        <v>241</v>
      </c>
      <c r="E183" s="21" t="s">
        <v>33</v>
      </c>
      <c r="F183" s="19">
        <v>1</v>
      </c>
      <c r="G183" s="22"/>
      <c r="H183" s="23"/>
      <c r="I183" s="24"/>
      <c r="J183" s="25" t="str">
        <f t="shared" si="6"/>
        <v/>
      </c>
      <c r="K183" s="26">
        <v>338</v>
      </c>
      <c r="L183" s="27">
        <v>108.69</v>
      </c>
      <c r="M183" s="28">
        <v>0</v>
      </c>
      <c r="N183" s="27">
        <f t="shared" si="7"/>
        <v>108.69</v>
      </c>
      <c r="O183" s="29">
        <f t="shared" si="8"/>
        <v>108.69</v>
      </c>
    </row>
    <row r="184" spans="1:15" x14ac:dyDescent="0.25">
      <c r="A184" s="30">
        <v>170</v>
      </c>
      <c r="B184" s="30">
        <v>393461</v>
      </c>
      <c r="C184" s="31">
        <v>7896023701436</v>
      </c>
      <c r="D184" s="32" t="s">
        <v>242</v>
      </c>
      <c r="E184" s="32" t="s">
        <v>243</v>
      </c>
      <c r="F184" s="30">
        <v>8</v>
      </c>
      <c r="G184" s="22"/>
      <c r="H184" s="23"/>
      <c r="I184" s="24"/>
      <c r="J184" s="33" t="str">
        <f t="shared" si="6"/>
        <v/>
      </c>
      <c r="K184" s="26">
        <v>475</v>
      </c>
      <c r="L184" s="27">
        <v>21.37</v>
      </c>
      <c r="M184" s="28">
        <v>0</v>
      </c>
      <c r="N184" s="27">
        <f t="shared" si="7"/>
        <v>21.37</v>
      </c>
      <c r="O184" s="29">
        <f t="shared" si="8"/>
        <v>170.96</v>
      </c>
    </row>
    <row r="185" spans="1:15" x14ac:dyDescent="0.25">
      <c r="A185" s="19">
        <v>171</v>
      </c>
      <c r="B185" s="19">
        <v>600341</v>
      </c>
      <c r="C185" s="20">
        <v>7891024033425</v>
      </c>
      <c r="D185" s="21" t="s">
        <v>244</v>
      </c>
      <c r="E185" s="21" t="s">
        <v>245</v>
      </c>
      <c r="F185" s="19">
        <v>10</v>
      </c>
      <c r="G185" s="22"/>
      <c r="H185" s="23"/>
      <c r="I185" s="24"/>
      <c r="J185" s="25" t="str">
        <f t="shared" si="6"/>
        <v/>
      </c>
      <c r="K185" s="26">
        <v>705</v>
      </c>
      <c r="L185" s="27">
        <v>26.4</v>
      </c>
      <c r="M185" s="28">
        <v>0</v>
      </c>
      <c r="N185" s="27">
        <f t="shared" si="7"/>
        <v>26.4</v>
      </c>
      <c r="O185" s="29">
        <f t="shared" si="8"/>
        <v>264</v>
      </c>
    </row>
    <row r="186" spans="1:15" x14ac:dyDescent="0.25">
      <c r="A186" s="30">
        <v>172</v>
      </c>
      <c r="B186" s="30">
        <v>646151</v>
      </c>
      <c r="C186" s="31">
        <v>7896094922228</v>
      </c>
      <c r="D186" s="32" t="s">
        <v>246</v>
      </c>
      <c r="E186" s="32" t="s">
        <v>247</v>
      </c>
      <c r="F186" s="30">
        <v>1</v>
      </c>
      <c r="G186" s="22"/>
      <c r="H186" s="23"/>
      <c r="I186" s="24"/>
      <c r="J186" s="33" t="str">
        <f t="shared" si="6"/>
        <v/>
      </c>
      <c r="K186" s="34">
        <v>0</v>
      </c>
      <c r="L186" s="27">
        <v>0</v>
      </c>
      <c r="M186" s="28">
        <v>1.4999999999999999E-2</v>
      </c>
      <c r="N186" s="27">
        <f t="shared" si="7"/>
        <v>0</v>
      </c>
      <c r="O186" s="29">
        <f t="shared" si="8"/>
        <v>0</v>
      </c>
    </row>
    <row r="187" spans="1:15" x14ac:dyDescent="0.25">
      <c r="A187" s="19">
        <v>173</v>
      </c>
      <c r="B187" s="19">
        <v>15</v>
      </c>
      <c r="C187" s="20">
        <v>7896094903272</v>
      </c>
      <c r="D187" s="21" t="s">
        <v>248</v>
      </c>
      <c r="E187" s="21" t="s">
        <v>249</v>
      </c>
      <c r="F187" s="19">
        <v>49</v>
      </c>
      <c r="G187" s="22"/>
      <c r="H187" s="23"/>
      <c r="I187" s="24"/>
      <c r="J187" s="25" t="str">
        <f t="shared" si="6"/>
        <v/>
      </c>
      <c r="K187" s="26">
        <v>1872</v>
      </c>
      <c r="L187" s="27">
        <v>37.72</v>
      </c>
      <c r="M187" s="28">
        <v>1.4999999999999999E-2</v>
      </c>
      <c r="N187" s="27">
        <f t="shared" si="7"/>
        <v>37.154199999999996</v>
      </c>
      <c r="O187" s="29">
        <f t="shared" si="8"/>
        <v>1820.5557999999999</v>
      </c>
    </row>
    <row r="188" spans="1:15" x14ac:dyDescent="0.25">
      <c r="A188" s="30">
        <v>174</v>
      </c>
      <c r="B188" s="30">
        <v>550801</v>
      </c>
      <c r="C188" s="31">
        <v>7892828001337</v>
      </c>
      <c r="D188" s="32" t="s">
        <v>250</v>
      </c>
      <c r="E188" s="32" t="s">
        <v>35</v>
      </c>
      <c r="F188" s="30">
        <v>4</v>
      </c>
      <c r="G188" s="22"/>
      <c r="H188" s="23"/>
      <c r="I188" s="24"/>
      <c r="J188" s="33" t="str">
        <f t="shared" si="6"/>
        <v/>
      </c>
      <c r="K188" s="26">
        <v>298</v>
      </c>
      <c r="L188" s="27">
        <v>50.25</v>
      </c>
      <c r="M188" s="28">
        <v>0.05</v>
      </c>
      <c r="N188" s="27">
        <f t="shared" si="7"/>
        <v>47.737499999999997</v>
      </c>
      <c r="O188" s="29">
        <f t="shared" si="8"/>
        <v>190.95</v>
      </c>
    </row>
    <row r="189" spans="1:15" x14ac:dyDescent="0.25">
      <c r="A189" s="19">
        <v>175</v>
      </c>
      <c r="B189" s="19">
        <v>658021</v>
      </c>
      <c r="C189" s="20">
        <v>4005900995520</v>
      </c>
      <c r="D189" s="21" t="s">
        <v>251</v>
      </c>
      <c r="E189" s="21"/>
      <c r="F189" s="19">
        <v>1</v>
      </c>
      <c r="G189" s="22"/>
      <c r="H189" s="23"/>
      <c r="I189" s="24"/>
      <c r="J189" s="25" t="str">
        <f t="shared" si="6"/>
        <v/>
      </c>
      <c r="K189" s="26">
        <v>0</v>
      </c>
      <c r="L189" s="27">
        <v>75.86</v>
      </c>
      <c r="M189" s="28">
        <v>0</v>
      </c>
      <c r="N189" s="27">
        <f t="shared" si="7"/>
        <v>75.86</v>
      </c>
      <c r="O189" s="29">
        <f t="shared" si="8"/>
        <v>75.86</v>
      </c>
    </row>
    <row r="190" spans="1:15" x14ac:dyDescent="0.25">
      <c r="A190" s="30">
        <v>176</v>
      </c>
      <c r="B190" s="30">
        <v>320001</v>
      </c>
      <c r="C190" s="31">
        <v>7891721014741</v>
      </c>
      <c r="D190" s="32" t="s">
        <v>252</v>
      </c>
      <c r="E190" s="32" t="s">
        <v>227</v>
      </c>
      <c r="F190" s="30">
        <v>1</v>
      </c>
      <c r="G190" s="22"/>
      <c r="H190" s="23"/>
      <c r="I190" s="24"/>
      <c r="J190" s="33" t="str">
        <f t="shared" si="6"/>
        <v/>
      </c>
      <c r="K190" s="26">
        <v>389</v>
      </c>
      <c r="L190" s="27">
        <v>36.58</v>
      </c>
      <c r="M190" s="28">
        <v>0.02</v>
      </c>
      <c r="N190" s="27">
        <f t="shared" si="7"/>
        <v>35.848399999999998</v>
      </c>
      <c r="O190" s="29">
        <f t="shared" si="8"/>
        <v>35.848399999999998</v>
      </c>
    </row>
    <row r="191" spans="1:15" x14ac:dyDescent="0.25">
      <c r="A191" s="19">
        <v>177</v>
      </c>
      <c r="B191" s="19">
        <v>669141</v>
      </c>
      <c r="C191" s="20">
        <v>7898040325466</v>
      </c>
      <c r="D191" s="21" t="s">
        <v>253</v>
      </c>
      <c r="E191" s="21" t="s">
        <v>254</v>
      </c>
      <c r="F191" s="19">
        <v>5</v>
      </c>
      <c r="G191" s="22"/>
      <c r="H191" s="23"/>
      <c r="I191" s="24"/>
      <c r="J191" s="25" t="str">
        <f t="shared" si="6"/>
        <v/>
      </c>
      <c r="K191" s="26">
        <v>2252</v>
      </c>
      <c r="L191" s="27">
        <v>145.97999999999999</v>
      </c>
      <c r="M191" s="28">
        <v>1.4999999999999999E-2</v>
      </c>
      <c r="N191" s="27">
        <f t="shared" si="7"/>
        <v>143.7903</v>
      </c>
      <c r="O191" s="29">
        <f t="shared" si="8"/>
        <v>718.95150000000001</v>
      </c>
    </row>
    <row r="192" spans="1:15" x14ac:dyDescent="0.25">
      <c r="A192" s="30">
        <v>178</v>
      </c>
      <c r="B192" s="30">
        <v>490681</v>
      </c>
      <c r="C192" s="31">
        <v>7896004777221</v>
      </c>
      <c r="D192" s="32" t="s">
        <v>255</v>
      </c>
      <c r="E192" s="32" t="s">
        <v>230</v>
      </c>
      <c r="F192" s="30">
        <v>6</v>
      </c>
      <c r="G192" s="22"/>
      <c r="H192" s="23"/>
      <c r="I192" s="24"/>
      <c r="J192" s="33" t="str">
        <f t="shared" si="6"/>
        <v/>
      </c>
      <c r="K192" s="26">
        <v>1557</v>
      </c>
      <c r="L192" s="27">
        <v>35.78</v>
      </c>
      <c r="M192" s="28">
        <v>0</v>
      </c>
      <c r="N192" s="27">
        <f t="shared" si="7"/>
        <v>35.78</v>
      </c>
      <c r="O192" s="29">
        <f t="shared" si="8"/>
        <v>214.68</v>
      </c>
    </row>
    <row r="193" spans="1:15" x14ac:dyDescent="0.25">
      <c r="A193" s="19">
        <v>179</v>
      </c>
      <c r="B193" s="19">
        <v>646991</v>
      </c>
      <c r="C193" s="20">
        <v>7500435185011</v>
      </c>
      <c r="D193" s="21" t="s">
        <v>256</v>
      </c>
      <c r="E193" s="21" t="s">
        <v>44</v>
      </c>
      <c r="F193" s="19">
        <v>1</v>
      </c>
      <c r="G193" s="22"/>
      <c r="H193" s="23"/>
      <c r="I193" s="24"/>
      <c r="J193" s="25" t="str">
        <f t="shared" si="6"/>
        <v/>
      </c>
      <c r="K193" s="26">
        <v>146</v>
      </c>
      <c r="L193" s="27">
        <v>107.95</v>
      </c>
      <c r="M193" s="28">
        <v>0.05</v>
      </c>
      <c r="N193" s="27">
        <f t="shared" si="7"/>
        <v>102.55250000000001</v>
      </c>
      <c r="O193" s="29">
        <f t="shared" si="8"/>
        <v>102.55250000000001</v>
      </c>
    </row>
    <row r="194" spans="1:15" x14ac:dyDescent="0.25">
      <c r="A194" s="30">
        <v>180</v>
      </c>
      <c r="B194" s="30">
        <v>430141</v>
      </c>
      <c r="C194" s="31">
        <v>7896014673124</v>
      </c>
      <c r="D194" s="32" t="s">
        <v>257</v>
      </c>
      <c r="E194" s="32" t="s">
        <v>258</v>
      </c>
      <c r="F194" s="30">
        <v>5</v>
      </c>
      <c r="G194" s="22"/>
      <c r="H194" s="23"/>
      <c r="I194" s="24"/>
      <c r="J194" s="33" t="str">
        <f t="shared" si="6"/>
        <v/>
      </c>
      <c r="K194" s="26">
        <v>3707</v>
      </c>
      <c r="L194" s="27">
        <v>68.77</v>
      </c>
      <c r="M194" s="28">
        <v>1.3899999999999999E-2</v>
      </c>
      <c r="N194" s="27">
        <f t="shared" si="7"/>
        <v>67.81409699999999</v>
      </c>
      <c r="O194" s="29">
        <f t="shared" si="8"/>
        <v>339.07048499999996</v>
      </c>
    </row>
    <row r="195" spans="1:15" x14ac:dyDescent="0.25">
      <c r="A195" s="19">
        <v>181</v>
      </c>
      <c r="B195" s="19">
        <v>626071</v>
      </c>
      <c r="C195" s="20">
        <v>7896023756849</v>
      </c>
      <c r="D195" s="21" t="s">
        <v>259</v>
      </c>
      <c r="E195" s="21" t="s">
        <v>243</v>
      </c>
      <c r="F195" s="19">
        <v>1</v>
      </c>
      <c r="G195" s="22"/>
      <c r="H195" s="23"/>
      <c r="I195" s="24"/>
      <c r="J195" s="25" t="str">
        <f t="shared" si="6"/>
        <v/>
      </c>
      <c r="K195" s="34">
        <v>0</v>
      </c>
      <c r="L195" s="27">
        <v>0</v>
      </c>
      <c r="M195" s="28">
        <v>0</v>
      </c>
      <c r="N195" s="27">
        <f t="shared" si="7"/>
        <v>0</v>
      </c>
      <c r="O195" s="29">
        <f t="shared" si="8"/>
        <v>0</v>
      </c>
    </row>
    <row r="196" spans="1:15" x14ac:dyDescent="0.25">
      <c r="A196" s="30">
        <v>182</v>
      </c>
      <c r="B196" s="30">
        <v>615321</v>
      </c>
      <c r="C196" s="31">
        <v>4005808311286</v>
      </c>
      <c r="D196" s="32" t="s">
        <v>260</v>
      </c>
      <c r="E196" s="32" t="s">
        <v>131</v>
      </c>
      <c r="F196" s="30">
        <v>1</v>
      </c>
      <c r="G196" s="22"/>
      <c r="H196" s="23"/>
      <c r="I196" s="24"/>
      <c r="J196" s="33" t="str">
        <f t="shared" si="6"/>
        <v/>
      </c>
      <c r="K196" s="26">
        <v>330</v>
      </c>
      <c r="L196" s="27">
        <v>25.79</v>
      </c>
      <c r="M196" s="28">
        <v>0</v>
      </c>
      <c r="N196" s="27">
        <f t="shared" si="7"/>
        <v>25.79</v>
      </c>
      <c r="O196" s="29">
        <f t="shared" si="8"/>
        <v>25.79</v>
      </c>
    </row>
    <row r="197" spans="1:15" x14ac:dyDescent="0.25">
      <c r="A197" s="19">
        <v>183</v>
      </c>
      <c r="B197" s="19">
        <v>609751</v>
      </c>
      <c r="C197" s="20">
        <v>7896026171366</v>
      </c>
      <c r="D197" s="21" t="s">
        <v>261</v>
      </c>
      <c r="E197" s="21" t="s">
        <v>124</v>
      </c>
      <c r="F197" s="19">
        <v>6</v>
      </c>
      <c r="G197" s="22"/>
      <c r="H197" s="23"/>
      <c r="I197" s="24"/>
      <c r="J197" s="25" t="str">
        <f t="shared" si="6"/>
        <v/>
      </c>
      <c r="K197" s="26">
        <v>126</v>
      </c>
      <c r="L197" s="27">
        <v>87.64</v>
      </c>
      <c r="M197" s="28">
        <v>0.03</v>
      </c>
      <c r="N197" s="27">
        <f t="shared" si="7"/>
        <v>85.010800000000003</v>
      </c>
      <c r="O197" s="29">
        <f t="shared" si="8"/>
        <v>510.06479999999999</v>
      </c>
    </row>
    <row r="198" spans="1:15" x14ac:dyDescent="0.25">
      <c r="A198" s="30">
        <v>184</v>
      </c>
      <c r="B198" s="30">
        <v>643971</v>
      </c>
      <c r="C198" s="31">
        <v>7896026172639</v>
      </c>
      <c r="D198" s="32" t="s">
        <v>262</v>
      </c>
      <c r="E198" s="32" t="s">
        <v>117</v>
      </c>
      <c r="F198" s="30">
        <v>2</v>
      </c>
      <c r="G198" s="22"/>
      <c r="H198" s="23"/>
      <c r="I198" s="24"/>
      <c r="J198" s="33" t="str">
        <f t="shared" si="6"/>
        <v/>
      </c>
      <c r="K198" s="26">
        <v>56</v>
      </c>
      <c r="L198" s="27">
        <v>47.99</v>
      </c>
      <c r="M198" s="28">
        <v>0.03</v>
      </c>
      <c r="N198" s="27">
        <f t="shared" si="7"/>
        <v>46.5503</v>
      </c>
      <c r="O198" s="29">
        <f t="shared" si="8"/>
        <v>93.1006</v>
      </c>
    </row>
    <row r="199" spans="1:15" x14ac:dyDescent="0.25">
      <c r="A199" s="19">
        <v>185</v>
      </c>
      <c r="B199" s="19">
        <v>658791</v>
      </c>
      <c r="C199" s="20">
        <v>7898074613010</v>
      </c>
      <c r="D199" s="21" t="s">
        <v>263</v>
      </c>
      <c r="E199" s="21" t="s">
        <v>264</v>
      </c>
      <c r="F199" s="19">
        <v>1</v>
      </c>
      <c r="G199" s="22"/>
      <c r="H199" s="23"/>
      <c r="I199" s="24"/>
      <c r="J199" s="25" t="str">
        <f t="shared" si="6"/>
        <v/>
      </c>
      <c r="K199" s="26">
        <v>271</v>
      </c>
      <c r="L199" s="27">
        <v>139.13</v>
      </c>
      <c r="M199" s="28">
        <v>0.03</v>
      </c>
      <c r="N199" s="27">
        <f t="shared" si="7"/>
        <v>134.95609999999999</v>
      </c>
      <c r="O199" s="29">
        <f t="shared" si="8"/>
        <v>134.95609999999999</v>
      </c>
    </row>
    <row r="200" spans="1:15" x14ac:dyDescent="0.25">
      <c r="A200" s="30">
        <v>186</v>
      </c>
      <c r="B200" s="30">
        <v>355221</v>
      </c>
      <c r="C200" s="31">
        <v>7891106006491</v>
      </c>
      <c r="D200" s="32" t="s">
        <v>265</v>
      </c>
      <c r="E200" s="32" t="s">
        <v>80</v>
      </c>
      <c r="F200" s="30">
        <v>2</v>
      </c>
      <c r="G200" s="22"/>
      <c r="H200" s="23"/>
      <c r="I200" s="24"/>
      <c r="J200" s="33" t="str">
        <f t="shared" si="6"/>
        <v/>
      </c>
      <c r="K200" s="26">
        <v>203</v>
      </c>
      <c r="L200" s="27">
        <v>15.84</v>
      </c>
      <c r="M200" s="28">
        <v>2.5000000000000001E-2</v>
      </c>
      <c r="N200" s="27">
        <f t="shared" si="7"/>
        <v>15.443999999999999</v>
      </c>
      <c r="O200" s="29">
        <f t="shared" si="8"/>
        <v>30.887999999999998</v>
      </c>
    </row>
    <row r="201" spans="1:15" x14ac:dyDescent="0.25">
      <c r="A201" s="19">
        <v>187</v>
      </c>
      <c r="B201" s="19">
        <v>355201</v>
      </c>
      <c r="C201" s="20">
        <v>7891106908313</v>
      </c>
      <c r="D201" s="21" t="s">
        <v>266</v>
      </c>
      <c r="E201" s="21" t="s">
        <v>267</v>
      </c>
      <c r="F201" s="19">
        <v>27</v>
      </c>
      <c r="G201" s="22"/>
      <c r="H201" s="23"/>
      <c r="I201" s="24"/>
      <c r="J201" s="25" t="str">
        <f t="shared" si="6"/>
        <v/>
      </c>
      <c r="K201" s="34">
        <v>0</v>
      </c>
      <c r="L201" s="27">
        <v>0</v>
      </c>
      <c r="M201" s="28">
        <v>0</v>
      </c>
      <c r="N201" s="27">
        <f t="shared" si="7"/>
        <v>0</v>
      </c>
      <c r="O201" s="29">
        <f t="shared" si="8"/>
        <v>0</v>
      </c>
    </row>
    <row r="202" spans="1:15" x14ac:dyDescent="0.25">
      <c r="A202" s="19">
        <v>188</v>
      </c>
      <c r="B202" s="19">
        <v>355201</v>
      </c>
      <c r="C202" s="20">
        <v>7891106912471</v>
      </c>
      <c r="D202" s="21" t="s">
        <v>266</v>
      </c>
      <c r="E202" s="21" t="s">
        <v>267</v>
      </c>
      <c r="F202" s="19">
        <v>27</v>
      </c>
      <c r="G202" s="22"/>
      <c r="H202" s="23"/>
      <c r="I202" s="24"/>
      <c r="J202" s="25" t="str">
        <f t="shared" si="6"/>
        <v/>
      </c>
      <c r="K202" s="26">
        <v>31</v>
      </c>
      <c r="L202" s="27">
        <v>59.61</v>
      </c>
      <c r="M202" s="28">
        <v>2.5000000000000001E-2</v>
      </c>
      <c r="N202" s="27">
        <f t="shared" si="7"/>
        <v>58.119749999999996</v>
      </c>
      <c r="O202" s="29">
        <f t="shared" si="8"/>
        <v>1569.23325</v>
      </c>
    </row>
    <row r="203" spans="1:15" x14ac:dyDescent="0.25">
      <c r="A203" s="30">
        <v>189</v>
      </c>
      <c r="B203" s="30">
        <v>355241</v>
      </c>
      <c r="C203" s="31">
        <v>7891106006507</v>
      </c>
      <c r="D203" s="32" t="s">
        <v>268</v>
      </c>
      <c r="E203" s="32" t="s">
        <v>80</v>
      </c>
      <c r="F203" s="30">
        <v>20</v>
      </c>
      <c r="G203" s="22"/>
      <c r="H203" s="23"/>
      <c r="I203" s="24"/>
      <c r="J203" s="33" t="str">
        <f t="shared" si="6"/>
        <v/>
      </c>
      <c r="K203" s="26">
        <v>1280</v>
      </c>
      <c r="L203" s="27">
        <v>21.87</v>
      </c>
      <c r="M203" s="28">
        <v>2.5000000000000001E-2</v>
      </c>
      <c r="N203" s="27">
        <f t="shared" si="7"/>
        <v>21.323250000000002</v>
      </c>
      <c r="O203" s="29">
        <f t="shared" si="8"/>
        <v>426.46500000000003</v>
      </c>
    </row>
    <row r="204" spans="1:15" x14ac:dyDescent="0.25">
      <c r="A204" s="19">
        <v>190</v>
      </c>
      <c r="B204" s="19">
        <v>668981</v>
      </c>
      <c r="C204" s="20">
        <v>7891106910989</v>
      </c>
      <c r="D204" s="21" t="s">
        <v>269</v>
      </c>
      <c r="E204" s="21" t="s">
        <v>80</v>
      </c>
      <c r="F204" s="19">
        <v>2</v>
      </c>
      <c r="G204" s="22"/>
      <c r="H204" s="23"/>
      <c r="I204" s="24"/>
      <c r="J204" s="25" t="str">
        <f t="shared" si="6"/>
        <v/>
      </c>
      <c r="K204" s="26">
        <v>433</v>
      </c>
      <c r="L204" s="27">
        <v>24.9</v>
      </c>
      <c r="M204" s="28">
        <v>2.5000000000000001E-2</v>
      </c>
      <c r="N204" s="27">
        <f t="shared" si="7"/>
        <v>24.2775</v>
      </c>
      <c r="O204" s="29">
        <f t="shared" si="8"/>
        <v>48.555</v>
      </c>
    </row>
    <row r="205" spans="1:15" x14ac:dyDescent="0.25">
      <c r="A205" s="30">
        <v>191</v>
      </c>
      <c r="B205" s="30">
        <v>240601</v>
      </c>
      <c r="C205" s="31">
        <v>7896637023344</v>
      </c>
      <c r="D205" s="32" t="s">
        <v>270</v>
      </c>
      <c r="E205" s="32" t="s">
        <v>86</v>
      </c>
      <c r="F205" s="30">
        <v>2</v>
      </c>
      <c r="G205" s="22"/>
      <c r="H205" s="23"/>
      <c r="I205" s="24"/>
      <c r="J205" s="33" t="str">
        <f t="shared" si="6"/>
        <v/>
      </c>
      <c r="K205" s="26">
        <v>952</v>
      </c>
      <c r="L205" s="27">
        <v>23.89</v>
      </c>
      <c r="M205" s="28">
        <v>1.4999999999999999E-2</v>
      </c>
      <c r="N205" s="27">
        <f t="shared" si="7"/>
        <v>23.531649999999999</v>
      </c>
      <c r="O205" s="29">
        <f t="shared" si="8"/>
        <v>47.063299999999998</v>
      </c>
    </row>
    <row r="206" spans="1:15" x14ac:dyDescent="0.25">
      <c r="A206" s="19">
        <v>192</v>
      </c>
      <c r="B206" s="19">
        <v>240241</v>
      </c>
      <c r="C206" s="20">
        <v>7896637023238</v>
      </c>
      <c r="D206" s="21" t="s">
        <v>271</v>
      </c>
      <c r="E206" s="21" t="s">
        <v>86</v>
      </c>
      <c r="F206" s="19">
        <v>9</v>
      </c>
      <c r="G206" s="22"/>
      <c r="H206" s="23"/>
      <c r="I206" s="24"/>
      <c r="J206" s="25" t="str">
        <f t="shared" si="6"/>
        <v/>
      </c>
      <c r="K206" s="26">
        <v>1151</v>
      </c>
      <c r="L206" s="27">
        <v>40.11</v>
      </c>
      <c r="M206" s="28">
        <v>1.4999999999999999E-2</v>
      </c>
      <c r="N206" s="27">
        <f t="shared" si="7"/>
        <v>39.50835</v>
      </c>
      <c r="O206" s="29">
        <f t="shared" si="8"/>
        <v>355.57515000000001</v>
      </c>
    </row>
    <row r="207" spans="1:15" x14ac:dyDescent="0.25">
      <c r="A207" s="30">
        <v>193</v>
      </c>
      <c r="B207" s="30">
        <v>582241</v>
      </c>
      <c r="C207" s="31">
        <v>7896637031943</v>
      </c>
      <c r="D207" s="32" t="s">
        <v>272</v>
      </c>
      <c r="E207" s="32" t="s">
        <v>86</v>
      </c>
      <c r="F207" s="30">
        <v>24</v>
      </c>
      <c r="G207" s="22"/>
      <c r="H207" s="23"/>
      <c r="I207" s="24"/>
      <c r="J207" s="33" t="str">
        <f t="shared" ref="J207:J270" si="9">IF(G207="","",F207*G207)</f>
        <v/>
      </c>
      <c r="K207" s="26">
        <v>2904</v>
      </c>
      <c r="L207" s="27">
        <v>50.23</v>
      </c>
      <c r="M207" s="28">
        <v>1.4999999999999999E-2</v>
      </c>
      <c r="N207" s="27">
        <f t="shared" si="7"/>
        <v>49.476549999999996</v>
      </c>
      <c r="O207" s="29">
        <f t="shared" si="8"/>
        <v>1187.4371999999998</v>
      </c>
    </row>
    <row r="208" spans="1:15" x14ac:dyDescent="0.25">
      <c r="A208" s="19">
        <v>194</v>
      </c>
      <c r="B208" s="19">
        <v>566701</v>
      </c>
      <c r="C208" s="20">
        <v>7898040324438</v>
      </c>
      <c r="D208" s="21" t="s">
        <v>273</v>
      </c>
      <c r="E208" s="21" t="s">
        <v>26</v>
      </c>
      <c r="F208" s="19">
        <v>1</v>
      </c>
      <c r="G208" s="22"/>
      <c r="H208" s="23"/>
      <c r="I208" s="24"/>
      <c r="J208" s="25" t="str">
        <f t="shared" si="9"/>
        <v/>
      </c>
      <c r="K208" s="26">
        <v>1008</v>
      </c>
      <c r="L208" s="27">
        <v>60.14</v>
      </c>
      <c r="M208" s="28">
        <v>0.03</v>
      </c>
      <c r="N208" s="27">
        <f t="shared" ref="N208:N271" si="10">L208-(L208*M208)</f>
        <v>58.335799999999999</v>
      </c>
      <c r="O208" s="29">
        <f t="shared" ref="O208:O271" si="11">N208*F208</f>
        <v>58.335799999999999</v>
      </c>
    </row>
    <row r="209" spans="1:15" x14ac:dyDescent="0.25">
      <c r="A209" s="30">
        <v>195</v>
      </c>
      <c r="B209" s="30">
        <v>652451</v>
      </c>
      <c r="C209" s="31"/>
      <c r="D209" s="32" t="s">
        <v>274</v>
      </c>
      <c r="E209" s="32" t="s">
        <v>42</v>
      </c>
      <c r="F209" s="30">
        <v>3</v>
      </c>
      <c r="G209" s="22"/>
      <c r="H209" s="23"/>
      <c r="I209" s="24"/>
      <c r="J209" s="33" t="str">
        <f t="shared" si="9"/>
        <v/>
      </c>
      <c r="K209" s="34">
        <v>0</v>
      </c>
      <c r="L209" s="27">
        <v>0</v>
      </c>
      <c r="M209" s="28">
        <v>0</v>
      </c>
      <c r="N209" s="27">
        <f t="shared" si="10"/>
        <v>0</v>
      </c>
      <c r="O209" s="29">
        <f t="shared" si="11"/>
        <v>0</v>
      </c>
    </row>
    <row r="210" spans="1:15" x14ac:dyDescent="0.25">
      <c r="A210" s="19">
        <v>196</v>
      </c>
      <c r="B210" s="19">
        <v>127721</v>
      </c>
      <c r="C210" s="20">
        <v>7896658006760</v>
      </c>
      <c r="D210" s="21" t="s">
        <v>275</v>
      </c>
      <c r="E210" s="21" t="s">
        <v>42</v>
      </c>
      <c r="F210" s="19">
        <v>1</v>
      </c>
      <c r="G210" s="22"/>
      <c r="H210" s="23"/>
      <c r="I210" s="24"/>
      <c r="J210" s="25" t="str">
        <f t="shared" si="9"/>
        <v/>
      </c>
      <c r="K210" s="26">
        <v>100</v>
      </c>
      <c r="L210" s="27">
        <v>26.47</v>
      </c>
      <c r="M210" s="28">
        <v>0.02</v>
      </c>
      <c r="N210" s="27">
        <f t="shared" si="10"/>
        <v>25.9406</v>
      </c>
      <c r="O210" s="29">
        <f t="shared" si="11"/>
        <v>25.9406</v>
      </c>
    </row>
    <row r="211" spans="1:15" x14ac:dyDescent="0.25">
      <c r="A211" s="30">
        <v>197</v>
      </c>
      <c r="B211" s="30">
        <v>634241</v>
      </c>
      <c r="C211" s="31">
        <v>7898040329648</v>
      </c>
      <c r="D211" s="32" t="s">
        <v>276</v>
      </c>
      <c r="E211" s="32" t="s">
        <v>140</v>
      </c>
      <c r="F211" s="30">
        <v>3</v>
      </c>
      <c r="G211" s="22"/>
      <c r="H211" s="23"/>
      <c r="I211" s="24"/>
      <c r="J211" s="33" t="str">
        <f t="shared" si="9"/>
        <v/>
      </c>
      <c r="K211" s="26">
        <v>445</v>
      </c>
      <c r="L211" s="27">
        <v>43.22</v>
      </c>
      <c r="M211" s="28">
        <v>0.04</v>
      </c>
      <c r="N211" s="27">
        <f t="shared" si="10"/>
        <v>41.491199999999999</v>
      </c>
      <c r="O211" s="29">
        <f t="shared" si="11"/>
        <v>124.4736</v>
      </c>
    </row>
    <row r="212" spans="1:15" x14ac:dyDescent="0.25">
      <c r="A212" s="19">
        <v>198</v>
      </c>
      <c r="B212" s="19">
        <v>123901</v>
      </c>
      <c r="C212" s="20">
        <v>7896672201523</v>
      </c>
      <c r="D212" s="21" t="s">
        <v>277</v>
      </c>
      <c r="E212" s="21" t="s">
        <v>128</v>
      </c>
      <c r="F212" s="19">
        <v>1</v>
      </c>
      <c r="G212" s="22"/>
      <c r="H212" s="23"/>
      <c r="I212" s="24"/>
      <c r="J212" s="25" t="str">
        <f t="shared" si="9"/>
        <v/>
      </c>
      <c r="K212" s="26">
        <v>31</v>
      </c>
      <c r="L212" s="27">
        <v>50.5</v>
      </c>
      <c r="M212" s="28">
        <v>0.03</v>
      </c>
      <c r="N212" s="27">
        <f t="shared" si="10"/>
        <v>48.984999999999999</v>
      </c>
      <c r="O212" s="29">
        <f t="shared" si="11"/>
        <v>48.984999999999999</v>
      </c>
    </row>
    <row r="213" spans="1:15" x14ac:dyDescent="0.25">
      <c r="A213" s="30">
        <v>199</v>
      </c>
      <c r="B213" s="30">
        <v>574201</v>
      </c>
      <c r="C213" s="31">
        <v>7896672203954</v>
      </c>
      <c r="D213" s="32" t="s">
        <v>278</v>
      </c>
      <c r="E213" s="32" t="s">
        <v>128</v>
      </c>
      <c r="F213" s="30">
        <v>10</v>
      </c>
      <c r="G213" s="22"/>
      <c r="H213" s="23"/>
      <c r="I213" s="24"/>
      <c r="J213" s="33" t="str">
        <f t="shared" si="9"/>
        <v/>
      </c>
      <c r="K213" s="26">
        <v>4180</v>
      </c>
      <c r="L213" s="27">
        <v>21.34</v>
      </c>
      <c r="M213" s="28">
        <v>0.03</v>
      </c>
      <c r="N213" s="27">
        <f t="shared" si="10"/>
        <v>20.6998</v>
      </c>
      <c r="O213" s="29">
        <f t="shared" si="11"/>
        <v>206.99799999999999</v>
      </c>
    </row>
    <row r="214" spans="1:15" x14ac:dyDescent="0.25">
      <c r="A214" s="19">
        <v>200</v>
      </c>
      <c r="B214" s="19">
        <v>5981</v>
      </c>
      <c r="C214" s="20">
        <v>7896676432916</v>
      </c>
      <c r="D214" s="21" t="s">
        <v>279</v>
      </c>
      <c r="E214" s="21" t="s">
        <v>52</v>
      </c>
      <c r="F214" s="19">
        <v>1</v>
      </c>
      <c r="G214" s="22"/>
      <c r="H214" s="23"/>
      <c r="I214" s="24"/>
      <c r="J214" s="25" t="str">
        <f t="shared" si="9"/>
        <v/>
      </c>
      <c r="K214" s="26">
        <v>414</v>
      </c>
      <c r="L214" s="27">
        <v>34.44</v>
      </c>
      <c r="M214" s="28">
        <v>0</v>
      </c>
      <c r="N214" s="27">
        <f t="shared" si="10"/>
        <v>34.44</v>
      </c>
      <c r="O214" s="29">
        <f t="shared" si="11"/>
        <v>34.44</v>
      </c>
    </row>
    <row r="215" spans="1:15" x14ac:dyDescent="0.25">
      <c r="A215" s="30">
        <v>201</v>
      </c>
      <c r="B215" s="30">
        <v>636341</v>
      </c>
      <c r="C215" s="31">
        <v>7891317023331</v>
      </c>
      <c r="D215" s="32" t="s">
        <v>280</v>
      </c>
      <c r="E215" s="32" t="s">
        <v>56</v>
      </c>
      <c r="F215" s="30">
        <v>1</v>
      </c>
      <c r="G215" s="22"/>
      <c r="H215" s="23"/>
      <c r="I215" s="24"/>
      <c r="J215" s="33" t="str">
        <f t="shared" si="9"/>
        <v/>
      </c>
      <c r="K215" s="26">
        <v>130</v>
      </c>
      <c r="L215" s="27">
        <v>119.43</v>
      </c>
      <c r="M215" s="28">
        <v>0.02</v>
      </c>
      <c r="N215" s="27">
        <f t="shared" si="10"/>
        <v>117.04140000000001</v>
      </c>
      <c r="O215" s="29">
        <f t="shared" si="11"/>
        <v>117.04140000000001</v>
      </c>
    </row>
    <row r="216" spans="1:15" x14ac:dyDescent="0.25">
      <c r="A216" s="19">
        <v>202</v>
      </c>
      <c r="B216" s="19">
        <v>539681</v>
      </c>
      <c r="C216" s="20">
        <v>7896677700281</v>
      </c>
      <c r="D216" s="21" t="s">
        <v>281</v>
      </c>
      <c r="E216" s="21" t="s">
        <v>282</v>
      </c>
      <c r="F216" s="19">
        <v>1</v>
      </c>
      <c r="G216" s="22"/>
      <c r="H216" s="23"/>
      <c r="I216" s="24"/>
      <c r="J216" s="25" t="str">
        <f t="shared" si="9"/>
        <v/>
      </c>
      <c r="K216" s="26">
        <v>1427</v>
      </c>
      <c r="L216" s="27">
        <v>59.4</v>
      </c>
      <c r="M216" s="28">
        <v>0</v>
      </c>
      <c r="N216" s="27">
        <f t="shared" si="10"/>
        <v>59.4</v>
      </c>
      <c r="O216" s="29">
        <f t="shared" si="11"/>
        <v>59.4</v>
      </c>
    </row>
    <row r="217" spans="1:15" x14ac:dyDescent="0.25">
      <c r="A217" s="30">
        <v>203</v>
      </c>
      <c r="B217" s="30">
        <v>638781</v>
      </c>
      <c r="C217" s="31">
        <v>40141785435</v>
      </c>
      <c r="D217" s="32" t="s">
        <v>283</v>
      </c>
      <c r="E217" s="32"/>
      <c r="F217" s="30">
        <v>1</v>
      </c>
      <c r="G217" s="22"/>
      <c r="H217" s="23"/>
      <c r="I217" s="24"/>
      <c r="J217" s="33" t="str">
        <f t="shared" si="9"/>
        <v/>
      </c>
      <c r="K217" s="34">
        <v>0</v>
      </c>
      <c r="L217" s="27">
        <v>0</v>
      </c>
      <c r="M217" s="28">
        <v>0</v>
      </c>
      <c r="N217" s="27">
        <f t="shared" si="10"/>
        <v>0</v>
      </c>
      <c r="O217" s="29">
        <f t="shared" si="11"/>
        <v>0</v>
      </c>
    </row>
    <row r="218" spans="1:15" x14ac:dyDescent="0.25">
      <c r="A218" s="19">
        <v>204</v>
      </c>
      <c r="B218" s="19">
        <v>25203</v>
      </c>
      <c r="C218" s="20">
        <v>5000456096591</v>
      </c>
      <c r="D218" s="21" t="s">
        <v>284</v>
      </c>
      <c r="E218" s="21"/>
      <c r="F218" s="19">
        <v>2</v>
      </c>
      <c r="G218" s="22"/>
      <c r="H218" s="23"/>
      <c r="I218" s="24"/>
      <c r="J218" s="25" t="str">
        <f t="shared" si="9"/>
        <v/>
      </c>
      <c r="K218" s="26">
        <v>2012</v>
      </c>
      <c r="L218" s="27">
        <v>177.63</v>
      </c>
      <c r="M218" s="28">
        <v>0.3</v>
      </c>
      <c r="N218" s="27">
        <f t="shared" si="10"/>
        <v>124.34100000000001</v>
      </c>
      <c r="O218" s="29">
        <f t="shared" si="11"/>
        <v>248.68200000000002</v>
      </c>
    </row>
    <row r="219" spans="1:15" x14ac:dyDescent="0.25">
      <c r="A219" s="30">
        <v>205</v>
      </c>
      <c r="B219" s="30">
        <v>622611</v>
      </c>
      <c r="C219" s="31">
        <v>5000456070423</v>
      </c>
      <c r="D219" s="32" t="s">
        <v>285</v>
      </c>
      <c r="E219" s="32" t="s">
        <v>286</v>
      </c>
      <c r="F219" s="30">
        <v>2</v>
      </c>
      <c r="G219" s="22"/>
      <c r="H219" s="23"/>
      <c r="I219" s="24"/>
      <c r="J219" s="33" t="str">
        <f t="shared" si="9"/>
        <v/>
      </c>
      <c r="K219" s="34">
        <v>0</v>
      </c>
      <c r="L219" s="27">
        <v>0</v>
      </c>
      <c r="M219" s="28">
        <v>0</v>
      </c>
      <c r="N219" s="27">
        <f t="shared" si="10"/>
        <v>0</v>
      </c>
      <c r="O219" s="29">
        <f t="shared" si="11"/>
        <v>0</v>
      </c>
    </row>
    <row r="220" spans="1:15" x14ac:dyDescent="0.25">
      <c r="A220" s="19">
        <v>206</v>
      </c>
      <c r="B220" s="19">
        <v>670571</v>
      </c>
      <c r="C220" s="20">
        <v>7898216368037</v>
      </c>
      <c r="D220" s="21" t="s">
        <v>287</v>
      </c>
      <c r="E220" s="21" t="s">
        <v>288</v>
      </c>
      <c r="F220" s="19">
        <v>2</v>
      </c>
      <c r="G220" s="22"/>
      <c r="H220" s="23"/>
      <c r="I220" s="24"/>
      <c r="J220" s="25" t="str">
        <f t="shared" si="9"/>
        <v/>
      </c>
      <c r="K220" s="26">
        <v>1479</v>
      </c>
      <c r="L220" s="27">
        <v>10.52</v>
      </c>
      <c r="M220" s="28">
        <v>0.02</v>
      </c>
      <c r="N220" s="27">
        <f t="shared" si="10"/>
        <v>10.3096</v>
      </c>
      <c r="O220" s="29">
        <f t="shared" si="11"/>
        <v>20.619199999999999</v>
      </c>
    </row>
    <row r="221" spans="1:15" x14ac:dyDescent="0.25">
      <c r="A221" s="30">
        <v>207</v>
      </c>
      <c r="B221" s="30">
        <v>661961</v>
      </c>
      <c r="C221" s="31">
        <v>7908785422099</v>
      </c>
      <c r="D221" s="32" t="s">
        <v>289</v>
      </c>
      <c r="E221" s="32" t="s">
        <v>290</v>
      </c>
      <c r="F221" s="30">
        <v>3</v>
      </c>
      <c r="G221" s="22"/>
      <c r="H221" s="23"/>
      <c r="I221" s="24"/>
      <c r="J221" s="33" t="str">
        <f t="shared" si="9"/>
        <v/>
      </c>
      <c r="K221" s="26">
        <v>608</v>
      </c>
      <c r="L221" s="27">
        <v>30.21</v>
      </c>
      <c r="M221" s="28">
        <v>0</v>
      </c>
      <c r="N221" s="27">
        <f t="shared" si="10"/>
        <v>30.21</v>
      </c>
      <c r="O221" s="29">
        <f t="shared" si="11"/>
        <v>90.63</v>
      </c>
    </row>
    <row r="222" spans="1:15" x14ac:dyDescent="0.25">
      <c r="A222" s="19">
        <v>208</v>
      </c>
      <c r="B222" s="19">
        <v>665861</v>
      </c>
      <c r="C222" s="20">
        <v>7908785422150</v>
      </c>
      <c r="D222" s="21" t="s">
        <v>291</v>
      </c>
      <c r="E222" s="21" t="s">
        <v>290</v>
      </c>
      <c r="F222" s="19">
        <v>1</v>
      </c>
      <c r="G222" s="22"/>
      <c r="H222" s="23"/>
      <c r="I222" s="24"/>
      <c r="J222" s="25" t="str">
        <f t="shared" si="9"/>
        <v/>
      </c>
      <c r="K222" s="26">
        <v>60</v>
      </c>
      <c r="L222" s="27">
        <v>30.21</v>
      </c>
      <c r="M222" s="28">
        <v>0</v>
      </c>
      <c r="N222" s="27">
        <f t="shared" si="10"/>
        <v>30.21</v>
      </c>
      <c r="O222" s="29">
        <f t="shared" si="11"/>
        <v>30.21</v>
      </c>
    </row>
    <row r="223" spans="1:15" x14ac:dyDescent="0.25">
      <c r="A223" s="30">
        <v>209</v>
      </c>
      <c r="B223" s="30">
        <v>262441</v>
      </c>
      <c r="C223" s="31">
        <v>7896094201248</v>
      </c>
      <c r="D223" s="32" t="s">
        <v>292</v>
      </c>
      <c r="E223" s="32" t="s">
        <v>54</v>
      </c>
      <c r="F223" s="30">
        <v>1</v>
      </c>
      <c r="G223" s="22"/>
      <c r="H223" s="23"/>
      <c r="I223" s="24"/>
      <c r="J223" s="33" t="str">
        <f t="shared" si="9"/>
        <v/>
      </c>
      <c r="K223" s="26">
        <v>352</v>
      </c>
      <c r="L223" s="27">
        <v>52.65</v>
      </c>
      <c r="M223" s="28">
        <v>0.01</v>
      </c>
      <c r="N223" s="27">
        <f t="shared" si="10"/>
        <v>52.1235</v>
      </c>
      <c r="O223" s="29">
        <f t="shared" si="11"/>
        <v>52.1235</v>
      </c>
    </row>
    <row r="224" spans="1:15" x14ac:dyDescent="0.25">
      <c r="A224" s="19">
        <v>210</v>
      </c>
      <c r="B224" s="19">
        <v>635741</v>
      </c>
      <c r="C224" s="20">
        <v>7891106916059</v>
      </c>
      <c r="D224" s="21" t="s">
        <v>293</v>
      </c>
      <c r="E224" s="21" t="s">
        <v>80</v>
      </c>
      <c r="F224" s="19">
        <v>2</v>
      </c>
      <c r="G224" s="22"/>
      <c r="H224" s="23"/>
      <c r="I224" s="24"/>
      <c r="J224" s="25" t="str">
        <f t="shared" si="9"/>
        <v/>
      </c>
      <c r="K224" s="26">
        <v>215</v>
      </c>
      <c r="L224" s="27">
        <v>83</v>
      </c>
      <c r="M224" s="28">
        <v>2.5000000000000001E-2</v>
      </c>
      <c r="N224" s="27">
        <f t="shared" si="10"/>
        <v>80.924999999999997</v>
      </c>
      <c r="O224" s="29">
        <f t="shared" si="11"/>
        <v>161.85</v>
      </c>
    </row>
    <row r="225" spans="1:15" x14ac:dyDescent="0.25">
      <c r="A225" s="30">
        <v>211</v>
      </c>
      <c r="B225" s="30">
        <v>189141</v>
      </c>
      <c r="C225" s="31">
        <v>7891106003230</v>
      </c>
      <c r="D225" s="32" t="s">
        <v>294</v>
      </c>
      <c r="E225" s="32" t="s">
        <v>80</v>
      </c>
      <c r="F225" s="30">
        <v>3</v>
      </c>
      <c r="G225" s="22"/>
      <c r="H225" s="23"/>
      <c r="I225" s="24"/>
      <c r="J225" s="33" t="str">
        <f t="shared" si="9"/>
        <v/>
      </c>
      <c r="K225" s="26">
        <v>738</v>
      </c>
      <c r="L225" s="27">
        <v>75.459999999999994</v>
      </c>
      <c r="M225" s="28">
        <v>2.5000000000000001E-2</v>
      </c>
      <c r="N225" s="27">
        <f t="shared" si="10"/>
        <v>73.573499999999996</v>
      </c>
      <c r="O225" s="29">
        <f t="shared" si="11"/>
        <v>220.72049999999999</v>
      </c>
    </row>
    <row r="226" spans="1:15" x14ac:dyDescent="0.25">
      <c r="A226" s="19">
        <v>212</v>
      </c>
      <c r="B226" s="19">
        <v>672581</v>
      </c>
      <c r="C226" s="20">
        <v>7891106916561</v>
      </c>
      <c r="D226" s="21" t="s">
        <v>295</v>
      </c>
      <c r="E226" s="21" t="s">
        <v>267</v>
      </c>
      <c r="F226" s="19">
        <v>1</v>
      </c>
      <c r="G226" s="22"/>
      <c r="H226" s="23"/>
      <c r="I226" s="24"/>
      <c r="J226" s="25" t="str">
        <f t="shared" si="9"/>
        <v/>
      </c>
      <c r="K226" s="26">
        <v>23</v>
      </c>
      <c r="L226" s="27">
        <v>23.8</v>
      </c>
      <c r="M226" s="28">
        <v>0</v>
      </c>
      <c r="N226" s="27">
        <f t="shared" si="10"/>
        <v>23.8</v>
      </c>
      <c r="O226" s="29">
        <f t="shared" si="11"/>
        <v>23.8</v>
      </c>
    </row>
    <row r="227" spans="1:15" x14ac:dyDescent="0.25">
      <c r="A227" s="30">
        <v>213</v>
      </c>
      <c r="B227" s="30">
        <v>672591</v>
      </c>
      <c r="C227" s="31">
        <v>7891106916554</v>
      </c>
      <c r="D227" s="32" t="s">
        <v>296</v>
      </c>
      <c r="E227" s="32" t="s">
        <v>80</v>
      </c>
      <c r="F227" s="30">
        <v>1</v>
      </c>
      <c r="G227" s="22"/>
      <c r="H227" s="23"/>
      <c r="I227" s="24"/>
      <c r="J227" s="33" t="str">
        <f t="shared" si="9"/>
        <v/>
      </c>
      <c r="K227" s="26">
        <v>134</v>
      </c>
      <c r="L227" s="27">
        <v>23.8</v>
      </c>
      <c r="M227" s="28">
        <v>0</v>
      </c>
      <c r="N227" s="27">
        <f t="shared" si="10"/>
        <v>23.8</v>
      </c>
      <c r="O227" s="29">
        <f t="shared" si="11"/>
        <v>23.8</v>
      </c>
    </row>
    <row r="228" spans="1:15" x14ac:dyDescent="0.25">
      <c r="A228" s="19">
        <v>214</v>
      </c>
      <c r="B228" s="19">
        <v>156321</v>
      </c>
      <c r="C228" s="20">
        <v>7891721201530</v>
      </c>
      <c r="D228" s="21" t="s">
        <v>297</v>
      </c>
      <c r="E228" s="21" t="s">
        <v>227</v>
      </c>
      <c r="F228" s="19">
        <v>7</v>
      </c>
      <c r="G228" s="22"/>
      <c r="H228" s="23"/>
      <c r="I228" s="24"/>
      <c r="J228" s="25" t="str">
        <f t="shared" si="9"/>
        <v/>
      </c>
      <c r="K228" s="26">
        <v>7880</v>
      </c>
      <c r="L228" s="27">
        <v>31.84</v>
      </c>
      <c r="M228" s="28">
        <v>0.02</v>
      </c>
      <c r="N228" s="27">
        <f t="shared" si="10"/>
        <v>31.203199999999999</v>
      </c>
      <c r="O228" s="29">
        <f t="shared" si="11"/>
        <v>218.42239999999998</v>
      </c>
    </row>
    <row r="229" spans="1:15" x14ac:dyDescent="0.25">
      <c r="A229" s="30">
        <v>215</v>
      </c>
      <c r="B229" s="30">
        <v>651371</v>
      </c>
      <c r="C229" s="31">
        <v>7908615088945</v>
      </c>
      <c r="D229" s="32" t="s">
        <v>298</v>
      </c>
      <c r="E229" s="32" t="s">
        <v>63</v>
      </c>
      <c r="F229" s="30">
        <v>1</v>
      </c>
      <c r="G229" s="22"/>
      <c r="H229" s="23"/>
      <c r="I229" s="24"/>
      <c r="J229" s="33" t="str">
        <f t="shared" si="9"/>
        <v/>
      </c>
      <c r="K229" s="26">
        <v>31</v>
      </c>
      <c r="L229" s="27">
        <v>35.42</v>
      </c>
      <c r="M229" s="28">
        <v>0</v>
      </c>
      <c r="N229" s="27">
        <f t="shared" si="10"/>
        <v>35.42</v>
      </c>
      <c r="O229" s="29">
        <f t="shared" si="11"/>
        <v>35.42</v>
      </c>
    </row>
    <row r="230" spans="1:15" x14ac:dyDescent="0.25">
      <c r="A230" s="19">
        <v>216</v>
      </c>
      <c r="B230" s="19">
        <v>595291</v>
      </c>
      <c r="C230" s="20">
        <v>7898495609289</v>
      </c>
      <c r="D230" s="21" t="s">
        <v>299</v>
      </c>
      <c r="E230" s="21" t="s">
        <v>300</v>
      </c>
      <c r="F230" s="19">
        <v>1</v>
      </c>
      <c r="G230" s="22"/>
      <c r="H230" s="23"/>
      <c r="I230" s="24"/>
      <c r="J230" s="25" t="str">
        <f t="shared" si="9"/>
        <v/>
      </c>
      <c r="K230" s="34">
        <v>0</v>
      </c>
      <c r="L230" s="27">
        <v>0</v>
      </c>
      <c r="M230" s="28">
        <v>0</v>
      </c>
      <c r="N230" s="27">
        <f t="shared" si="10"/>
        <v>0</v>
      </c>
      <c r="O230" s="29">
        <f t="shared" si="11"/>
        <v>0</v>
      </c>
    </row>
    <row r="231" spans="1:15" x14ac:dyDescent="0.25">
      <c r="A231" s="19">
        <v>217</v>
      </c>
      <c r="B231" s="19">
        <v>595291</v>
      </c>
      <c r="C231" s="20">
        <v>7908020507505</v>
      </c>
      <c r="D231" s="21" t="s">
        <v>299</v>
      </c>
      <c r="E231" s="21" t="s">
        <v>300</v>
      </c>
      <c r="F231" s="19">
        <v>1</v>
      </c>
      <c r="G231" s="22"/>
      <c r="H231" s="23"/>
      <c r="I231" s="24"/>
      <c r="J231" s="25" t="str">
        <f t="shared" si="9"/>
        <v/>
      </c>
      <c r="K231" s="34">
        <v>0</v>
      </c>
      <c r="L231" s="27">
        <v>0</v>
      </c>
      <c r="M231" s="28">
        <v>0.02</v>
      </c>
      <c r="N231" s="27">
        <f t="shared" si="10"/>
        <v>0</v>
      </c>
      <c r="O231" s="29">
        <f t="shared" si="11"/>
        <v>0</v>
      </c>
    </row>
    <row r="232" spans="1:15" x14ac:dyDescent="0.25">
      <c r="A232" s="30">
        <v>218</v>
      </c>
      <c r="B232" s="30">
        <v>627211</v>
      </c>
      <c r="C232" s="31">
        <v>7908020501435</v>
      </c>
      <c r="D232" s="32" t="s">
        <v>301</v>
      </c>
      <c r="E232" s="32" t="s">
        <v>302</v>
      </c>
      <c r="F232" s="30">
        <v>1</v>
      </c>
      <c r="G232" s="22"/>
      <c r="H232" s="23"/>
      <c r="I232" s="24"/>
      <c r="J232" s="33" t="str">
        <f t="shared" si="9"/>
        <v/>
      </c>
      <c r="K232" s="26">
        <v>19</v>
      </c>
      <c r="L232" s="27">
        <v>64.459999999999994</v>
      </c>
      <c r="M232" s="28">
        <v>0.02</v>
      </c>
      <c r="N232" s="27">
        <f t="shared" si="10"/>
        <v>63.170799999999993</v>
      </c>
      <c r="O232" s="29">
        <f t="shared" si="11"/>
        <v>63.170799999999993</v>
      </c>
    </row>
    <row r="233" spans="1:15" x14ac:dyDescent="0.25">
      <c r="A233" s="19">
        <v>219</v>
      </c>
      <c r="B233" s="19">
        <v>559601</v>
      </c>
      <c r="C233" s="20">
        <v>7898495609326</v>
      </c>
      <c r="D233" s="21" t="s">
        <v>303</v>
      </c>
      <c r="E233" s="21" t="s">
        <v>300</v>
      </c>
      <c r="F233" s="19">
        <v>1</v>
      </c>
      <c r="G233" s="22"/>
      <c r="H233" s="23"/>
      <c r="I233" s="24"/>
      <c r="J233" s="25" t="str">
        <f t="shared" si="9"/>
        <v/>
      </c>
      <c r="K233" s="26">
        <v>1518</v>
      </c>
      <c r="L233" s="27">
        <v>57.55</v>
      </c>
      <c r="M233" s="28">
        <v>0.02</v>
      </c>
      <c r="N233" s="27">
        <f t="shared" si="10"/>
        <v>56.398999999999994</v>
      </c>
      <c r="O233" s="29">
        <f t="shared" si="11"/>
        <v>56.398999999999994</v>
      </c>
    </row>
    <row r="234" spans="1:15" x14ac:dyDescent="0.25">
      <c r="A234" s="30">
        <v>220</v>
      </c>
      <c r="B234" s="30">
        <v>626321</v>
      </c>
      <c r="C234" s="31">
        <v>7898040325008</v>
      </c>
      <c r="D234" s="32" t="s">
        <v>304</v>
      </c>
      <c r="E234" s="32" t="s">
        <v>26</v>
      </c>
      <c r="F234" s="30">
        <v>1</v>
      </c>
      <c r="G234" s="22"/>
      <c r="H234" s="23"/>
      <c r="I234" s="24"/>
      <c r="J234" s="33" t="str">
        <f t="shared" si="9"/>
        <v/>
      </c>
      <c r="K234" s="26">
        <v>750</v>
      </c>
      <c r="L234" s="27">
        <v>77.53</v>
      </c>
      <c r="M234" s="28">
        <v>0.03</v>
      </c>
      <c r="N234" s="27">
        <f t="shared" si="10"/>
        <v>75.204099999999997</v>
      </c>
      <c r="O234" s="29">
        <f t="shared" si="11"/>
        <v>75.204099999999997</v>
      </c>
    </row>
    <row r="235" spans="1:15" x14ac:dyDescent="0.25">
      <c r="A235" s="19">
        <v>221</v>
      </c>
      <c r="B235" s="19">
        <v>619571</v>
      </c>
      <c r="C235" s="20">
        <v>4005900163875</v>
      </c>
      <c r="D235" s="21" t="s">
        <v>305</v>
      </c>
      <c r="E235" s="21" t="s">
        <v>131</v>
      </c>
      <c r="F235" s="19">
        <v>1</v>
      </c>
      <c r="G235" s="22"/>
      <c r="H235" s="23"/>
      <c r="I235" s="24"/>
      <c r="J235" s="25" t="str">
        <f t="shared" si="9"/>
        <v/>
      </c>
      <c r="K235" s="34">
        <v>0</v>
      </c>
      <c r="L235" s="27">
        <v>0</v>
      </c>
      <c r="M235" s="28">
        <v>0</v>
      </c>
      <c r="N235" s="27">
        <f t="shared" si="10"/>
        <v>0</v>
      </c>
      <c r="O235" s="29">
        <f t="shared" si="11"/>
        <v>0</v>
      </c>
    </row>
    <row r="236" spans="1:15" x14ac:dyDescent="0.25">
      <c r="A236" s="30">
        <v>222</v>
      </c>
      <c r="B236" s="30">
        <v>554181</v>
      </c>
      <c r="C236" s="31">
        <v>7891010249953</v>
      </c>
      <c r="D236" s="32" t="s">
        <v>306</v>
      </c>
      <c r="E236" s="32" t="s">
        <v>307</v>
      </c>
      <c r="F236" s="30">
        <v>3</v>
      </c>
      <c r="G236" s="22"/>
      <c r="H236" s="23"/>
      <c r="I236" s="24"/>
      <c r="J236" s="33" t="str">
        <f t="shared" si="9"/>
        <v/>
      </c>
      <c r="K236" s="26">
        <v>976</v>
      </c>
      <c r="L236" s="27">
        <v>23.87</v>
      </c>
      <c r="M236" s="28">
        <v>0</v>
      </c>
      <c r="N236" s="27">
        <f t="shared" si="10"/>
        <v>23.87</v>
      </c>
      <c r="O236" s="29">
        <f t="shared" si="11"/>
        <v>71.61</v>
      </c>
    </row>
    <row r="237" spans="1:15" x14ac:dyDescent="0.25">
      <c r="A237" s="19">
        <v>223</v>
      </c>
      <c r="B237" s="19">
        <v>621551</v>
      </c>
      <c r="C237" s="20">
        <v>7891010255763</v>
      </c>
      <c r="D237" s="21" t="s">
        <v>308</v>
      </c>
      <c r="E237" s="21" t="s">
        <v>307</v>
      </c>
      <c r="F237" s="19">
        <v>5</v>
      </c>
      <c r="G237" s="22"/>
      <c r="H237" s="23"/>
      <c r="I237" s="24"/>
      <c r="J237" s="25" t="str">
        <f t="shared" si="9"/>
        <v/>
      </c>
      <c r="K237" s="26">
        <v>3473</v>
      </c>
      <c r="L237" s="27">
        <v>22.73</v>
      </c>
      <c r="M237" s="28">
        <v>0</v>
      </c>
      <c r="N237" s="27">
        <f t="shared" si="10"/>
        <v>22.73</v>
      </c>
      <c r="O237" s="29">
        <f t="shared" si="11"/>
        <v>113.65</v>
      </c>
    </row>
    <row r="238" spans="1:15" x14ac:dyDescent="0.25">
      <c r="A238" s="30">
        <v>224</v>
      </c>
      <c r="B238" s="30">
        <v>406261</v>
      </c>
      <c r="C238" s="31">
        <v>7897411601567</v>
      </c>
      <c r="D238" s="32" t="s">
        <v>309</v>
      </c>
      <c r="E238" s="32" t="s">
        <v>310</v>
      </c>
      <c r="F238" s="30">
        <v>1</v>
      </c>
      <c r="G238" s="22"/>
      <c r="H238" s="23"/>
      <c r="I238" s="24"/>
      <c r="J238" s="33" t="str">
        <f t="shared" si="9"/>
        <v/>
      </c>
      <c r="K238" s="26">
        <v>76</v>
      </c>
      <c r="L238" s="27">
        <v>36.520000000000003</v>
      </c>
      <c r="M238" s="28">
        <v>0.03</v>
      </c>
      <c r="N238" s="27">
        <f t="shared" si="10"/>
        <v>35.424400000000006</v>
      </c>
      <c r="O238" s="29">
        <f t="shared" si="11"/>
        <v>35.424400000000006</v>
      </c>
    </row>
    <row r="239" spans="1:15" x14ac:dyDescent="0.25">
      <c r="A239" s="19">
        <v>225</v>
      </c>
      <c r="B239" s="19">
        <v>623001</v>
      </c>
      <c r="C239" s="20">
        <v>5702191025620</v>
      </c>
      <c r="D239" s="21" t="s">
        <v>311</v>
      </c>
      <c r="E239" s="21" t="s">
        <v>93</v>
      </c>
      <c r="F239" s="19">
        <v>8</v>
      </c>
      <c r="G239" s="22"/>
      <c r="H239" s="23"/>
      <c r="I239" s="24"/>
      <c r="J239" s="25" t="str">
        <f t="shared" si="9"/>
        <v/>
      </c>
      <c r="K239" s="26">
        <v>53</v>
      </c>
      <c r="L239" s="27">
        <v>41.02</v>
      </c>
      <c r="M239" s="28">
        <v>0</v>
      </c>
      <c r="N239" s="27">
        <f t="shared" si="10"/>
        <v>41.02</v>
      </c>
      <c r="O239" s="29">
        <f t="shared" si="11"/>
        <v>328.16</v>
      </c>
    </row>
    <row r="240" spans="1:15" x14ac:dyDescent="0.25">
      <c r="A240" s="30">
        <v>226</v>
      </c>
      <c r="B240" s="30">
        <v>572741</v>
      </c>
      <c r="C240" s="31">
        <v>7898495609364</v>
      </c>
      <c r="D240" s="32" t="s">
        <v>312</v>
      </c>
      <c r="E240" s="32" t="s">
        <v>300</v>
      </c>
      <c r="F240" s="30">
        <v>1</v>
      </c>
      <c r="G240" s="22"/>
      <c r="H240" s="23"/>
      <c r="I240" s="24"/>
      <c r="J240" s="33" t="str">
        <f t="shared" si="9"/>
        <v/>
      </c>
      <c r="K240" s="26">
        <v>0</v>
      </c>
      <c r="L240" s="27">
        <v>63.7</v>
      </c>
      <c r="M240" s="28">
        <v>0.02</v>
      </c>
      <c r="N240" s="27">
        <f t="shared" si="10"/>
        <v>62.426000000000002</v>
      </c>
      <c r="O240" s="29">
        <f t="shared" si="11"/>
        <v>62.426000000000002</v>
      </c>
    </row>
    <row r="241" spans="1:15" x14ac:dyDescent="0.25">
      <c r="A241" s="19">
        <v>227</v>
      </c>
      <c r="B241" s="19">
        <v>592811</v>
      </c>
      <c r="C241" s="20">
        <v>7898495609487</v>
      </c>
      <c r="D241" s="21" t="s">
        <v>313</v>
      </c>
      <c r="E241" s="21" t="s">
        <v>300</v>
      </c>
      <c r="F241" s="19">
        <v>1</v>
      </c>
      <c r="G241" s="22"/>
      <c r="H241" s="23"/>
      <c r="I241" s="24"/>
      <c r="J241" s="25" t="str">
        <f t="shared" si="9"/>
        <v/>
      </c>
      <c r="K241" s="26">
        <v>285</v>
      </c>
      <c r="L241" s="27">
        <v>94.13</v>
      </c>
      <c r="M241" s="28">
        <v>0.02</v>
      </c>
      <c r="N241" s="27">
        <f t="shared" si="10"/>
        <v>92.247399999999999</v>
      </c>
      <c r="O241" s="29">
        <f t="shared" si="11"/>
        <v>92.247399999999999</v>
      </c>
    </row>
    <row r="242" spans="1:15" x14ac:dyDescent="0.25">
      <c r="A242" s="30">
        <v>228</v>
      </c>
      <c r="B242" s="30">
        <v>153101</v>
      </c>
      <c r="C242" s="31">
        <v>7896212478750</v>
      </c>
      <c r="D242" s="32" t="s">
        <v>314</v>
      </c>
      <c r="E242" s="32" t="s">
        <v>99</v>
      </c>
      <c r="F242" s="30">
        <v>46</v>
      </c>
      <c r="G242" s="22"/>
      <c r="H242" s="23"/>
      <c r="I242" s="24"/>
      <c r="J242" s="33" t="str">
        <f t="shared" si="9"/>
        <v/>
      </c>
      <c r="K242" s="34">
        <v>0</v>
      </c>
      <c r="L242" s="27">
        <v>0</v>
      </c>
      <c r="M242" s="28">
        <v>0</v>
      </c>
      <c r="N242" s="27">
        <f t="shared" si="10"/>
        <v>0</v>
      </c>
      <c r="O242" s="29">
        <f t="shared" si="11"/>
        <v>0</v>
      </c>
    </row>
    <row r="243" spans="1:15" x14ac:dyDescent="0.25">
      <c r="A243" s="30">
        <v>229</v>
      </c>
      <c r="B243" s="30">
        <v>153101</v>
      </c>
      <c r="C243" s="31">
        <v>7891010256364</v>
      </c>
      <c r="D243" s="32" t="s">
        <v>314</v>
      </c>
      <c r="E243" s="32" t="s">
        <v>99</v>
      </c>
      <c r="F243" s="30">
        <v>46</v>
      </c>
      <c r="G243" s="22"/>
      <c r="H243" s="23"/>
      <c r="I243" s="24"/>
      <c r="J243" s="33" t="str">
        <f t="shared" si="9"/>
        <v/>
      </c>
      <c r="K243" s="26">
        <v>12802</v>
      </c>
      <c r="L243" s="27">
        <v>9.34</v>
      </c>
      <c r="M243" s="28">
        <v>2.5000000000000001E-2</v>
      </c>
      <c r="N243" s="27">
        <f t="shared" si="10"/>
        <v>9.1065000000000005</v>
      </c>
      <c r="O243" s="29">
        <f t="shared" si="11"/>
        <v>418.899</v>
      </c>
    </row>
    <row r="244" spans="1:15" x14ac:dyDescent="0.25">
      <c r="A244" s="19">
        <v>230</v>
      </c>
      <c r="B244" s="19">
        <v>389621</v>
      </c>
      <c r="C244" s="20">
        <v>7896637031509</v>
      </c>
      <c r="D244" s="21" t="s">
        <v>315</v>
      </c>
      <c r="E244" s="21" t="s">
        <v>86</v>
      </c>
      <c r="F244" s="19">
        <v>8</v>
      </c>
      <c r="G244" s="22"/>
      <c r="H244" s="23"/>
      <c r="I244" s="24"/>
      <c r="J244" s="25" t="str">
        <f t="shared" si="9"/>
        <v/>
      </c>
      <c r="K244" s="26">
        <v>1561</v>
      </c>
      <c r="L244" s="27">
        <v>57.85</v>
      </c>
      <c r="M244" s="28">
        <v>1.4999999999999999E-2</v>
      </c>
      <c r="N244" s="27">
        <f t="shared" si="10"/>
        <v>56.982250000000001</v>
      </c>
      <c r="O244" s="29">
        <f t="shared" si="11"/>
        <v>455.858</v>
      </c>
    </row>
    <row r="245" spans="1:15" x14ac:dyDescent="0.25">
      <c r="A245" s="30">
        <v>231</v>
      </c>
      <c r="B245" s="30">
        <v>240081</v>
      </c>
      <c r="C245" s="31">
        <v>7896094208094</v>
      </c>
      <c r="D245" s="32" t="s">
        <v>316</v>
      </c>
      <c r="E245" s="32" t="s">
        <v>54</v>
      </c>
      <c r="F245" s="30">
        <v>5</v>
      </c>
      <c r="G245" s="22"/>
      <c r="H245" s="23"/>
      <c r="I245" s="24"/>
      <c r="J245" s="33" t="str">
        <f t="shared" si="9"/>
        <v/>
      </c>
      <c r="K245" s="26">
        <v>871</v>
      </c>
      <c r="L245" s="27">
        <v>58.36</v>
      </c>
      <c r="M245" s="28">
        <v>0.01</v>
      </c>
      <c r="N245" s="27">
        <f t="shared" si="10"/>
        <v>57.776400000000002</v>
      </c>
      <c r="O245" s="29">
        <f t="shared" si="11"/>
        <v>288.88200000000001</v>
      </c>
    </row>
    <row r="246" spans="1:15" x14ac:dyDescent="0.25">
      <c r="A246" s="19">
        <v>232</v>
      </c>
      <c r="B246" s="19">
        <v>239381</v>
      </c>
      <c r="C246" s="20">
        <v>7896094208674</v>
      </c>
      <c r="D246" s="21" t="s">
        <v>317</v>
      </c>
      <c r="E246" s="21" t="s">
        <v>54</v>
      </c>
      <c r="F246" s="19">
        <v>1</v>
      </c>
      <c r="G246" s="22"/>
      <c r="H246" s="23"/>
      <c r="I246" s="24"/>
      <c r="J246" s="25" t="str">
        <f t="shared" si="9"/>
        <v/>
      </c>
      <c r="K246" s="26">
        <v>112</v>
      </c>
      <c r="L246" s="27">
        <v>142.35</v>
      </c>
      <c r="M246" s="28">
        <v>0.01</v>
      </c>
      <c r="N246" s="27">
        <f t="shared" si="10"/>
        <v>140.9265</v>
      </c>
      <c r="O246" s="29">
        <f t="shared" si="11"/>
        <v>140.9265</v>
      </c>
    </row>
    <row r="247" spans="1:15" x14ac:dyDescent="0.25">
      <c r="A247" s="30">
        <v>233</v>
      </c>
      <c r="B247" s="30">
        <v>645701</v>
      </c>
      <c r="C247" s="31">
        <v>7891317028794</v>
      </c>
      <c r="D247" s="32" t="s">
        <v>318</v>
      </c>
      <c r="E247" s="32" t="s">
        <v>56</v>
      </c>
      <c r="F247" s="30">
        <v>1</v>
      </c>
      <c r="G247" s="22"/>
      <c r="H247" s="23"/>
      <c r="I247" s="24"/>
      <c r="J247" s="33" t="str">
        <f t="shared" si="9"/>
        <v/>
      </c>
      <c r="K247" s="26">
        <v>11</v>
      </c>
      <c r="L247" s="27">
        <v>26.87</v>
      </c>
      <c r="M247" s="28">
        <v>0.02</v>
      </c>
      <c r="N247" s="27">
        <f t="shared" si="10"/>
        <v>26.332599999999999</v>
      </c>
      <c r="O247" s="29">
        <f t="shared" si="11"/>
        <v>26.332599999999999</v>
      </c>
    </row>
    <row r="248" spans="1:15" x14ac:dyDescent="0.25">
      <c r="A248" s="19">
        <v>234</v>
      </c>
      <c r="B248" s="19">
        <v>615181</v>
      </c>
      <c r="C248" s="20">
        <v>3282779340847</v>
      </c>
      <c r="D248" s="21" t="s">
        <v>319</v>
      </c>
      <c r="E248" s="21" t="s">
        <v>320</v>
      </c>
      <c r="F248" s="19">
        <v>4</v>
      </c>
      <c r="G248" s="22"/>
      <c r="H248" s="23"/>
      <c r="I248" s="24"/>
      <c r="J248" s="25" t="str">
        <f t="shared" si="9"/>
        <v/>
      </c>
      <c r="K248" s="26">
        <v>242</v>
      </c>
      <c r="L248" s="27">
        <v>44.06</v>
      </c>
      <c r="M248" s="28">
        <v>0</v>
      </c>
      <c r="N248" s="27">
        <f t="shared" si="10"/>
        <v>44.06</v>
      </c>
      <c r="O248" s="29">
        <f t="shared" si="11"/>
        <v>176.24</v>
      </c>
    </row>
    <row r="249" spans="1:15" x14ac:dyDescent="0.25">
      <c r="A249" s="30">
        <v>235</v>
      </c>
      <c r="B249" s="30">
        <v>646621</v>
      </c>
      <c r="C249" s="31">
        <v>7898301056726</v>
      </c>
      <c r="D249" s="32" t="s">
        <v>321</v>
      </c>
      <c r="E249" s="32" t="s">
        <v>68</v>
      </c>
      <c r="F249" s="30">
        <v>10</v>
      </c>
      <c r="G249" s="22"/>
      <c r="H249" s="23"/>
      <c r="I249" s="24"/>
      <c r="J249" s="33" t="str">
        <f t="shared" si="9"/>
        <v/>
      </c>
      <c r="K249" s="34">
        <v>0</v>
      </c>
      <c r="L249" s="27">
        <v>0</v>
      </c>
      <c r="M249" s="28">
        <v>0</v>
      </c>
      <c r="N249" s="27">
        <f t="shared" si="10"/>
        <v>0</v>
      </c>
      <c r="O249" s="29">
        <f t="shared" si="11"/>
        <v>0</v>
      </c>
    </row>
    <row r="250" spans="1:15" x14ac:dyDescent="0.25">
      <c r="A250" s="19">
        <v>236</v>
      </c>
      <c r="B250" s="19">
        <v>619221</v>
      </c>
      <c r="C250" s="20">
        <v>7898301059666</v>
      </c>
      <c r="D250" s="21" t="s">
        <v>322</v>
      </c>
      <c r="E250" s="21" t="s">
        <v>68</v>
      </c>
      <c r="F250" s="19">
        <v>4</v>
      </c>
      <c r="G250" s="22"/>
      <c r="H250" s="23"/>
      <c r="I250" s="24"/>
      <c r="J250" s="25" t="str">
        <f t="shared" si="9"/>
        <v/>
      </c>
      <c r="K250" s="34">
        <v>0</v>
      </c>
      <c r="L250" s="27">
        <v>0</v>
      </c>
      <c r="M250" s="28">
        <v>0</v>
      </c>
      <c r="N250" s="27">
        <f t="shared" si="10"/>
        <v>0</v>
      </c>
      <c r="O250" s="29">
        <f t="shared" si="11"/>
        <v>0</v>
      </c>
    </row>
    <row r="251" spans="1:15" x14ac:dyDescent="0.25">
      <c r="A251" s="30">
        <v>237</v>
      </c>
      <c r="B251" s="30">
        <v>556341</v>
      </c>
      <c r="C251" s="31">
        <v>7891317015060</v>
      </c>
      <c r="D251" s="32" t="s">
        <v>323</v>
      </c>
      <c r="E251" s="32" t="s">
        <v>56</v>
      </c>
      <c r="F251" s="30">
        <v>2</v>
      </c>
      <c r="G251" s="22"/>
      <c r="H251" s="23"/>
      <c r="I251" s="24"/>
      <c r="J251" s="33" t="str">
        <f t="shared" si="9"/>
        <v/>
      </c>
      <c r="K251" s="26">
        <v>2855</v>
      </c>
      <c r="L251" s="27">
        <v>40.53</v>
      </c>
      <c r="M251" s="28">
        <v>0.02</v>
      </c>
      <c r="N251" s="27">
        <f t="shared" si="10"/>
        <v>39.7194</v>
      </c>
      <c r="O251" s="29">
        <f t="shared" si="11"/>
        <v>79.438800000000001</v>
      </c>
    </row>
    <row r="252" spans="1:15" x14ac:dyDescent="0.25">
      <c r="A252" s="19">
        <v>238</v>
      </c>
      <c r="B252" s="19">
        <v>582461</v>
      </c>
      <c r="C252" s="20">
        <v>4005900663993</v>
      </c>
      <c r="D252" s="21" t="s">
        <v>324</v>
      </c>
      <c r="E252" s="21" t="s">
        <v>131</v>
      </c>
      <c r="F252" s="19">
        <v>4</v>
      </c>
      <c r="G252" s="22"/>
      <c r="H252" s="23"/>
      <c r="I252" s="24"/>
      <c r="J252" s="25" t="str">
        <f t="shared" si="9"/>
        <v/>
      </c>
      <c r="K252" s="26">
        <v>306</v>
      </c>
      <c r="L252" s="27">
        <v>19.52</v>
      </c>
      <c r="M252" s="28">
        <v>0</v>
      </c>
      <c r="N252" s="27">
        <f t="shared" si="10"/>
        <v>19.52</v>
      </c>
      <c r="O252" s="29">
        <f t="shared" si="11"/>
        <v>78.08</v>
      </c>
    </row>
    <row r="253" spans="1:15" x14ac:dyDescent="0.25">
      <c r="A253" s="30">
        <v>239</v>
      </c>
      <c r="B253" s="30">
        <v>621481</v>
      </c>
      <c r="C253" s="31">
        <v>4005900921598</v>
      </c>
      <c r="D253" s="32" t="s">
        <v>325</v>
      </c>
      <c r="E253" s="32" t="s">
        <v>131</v>
      </c>
      <c r="F253" s="30">
        <v>1</v>
      </c>
      <c r="G253" s="22"/>
      <c r="H253" s="23"/>
      <c r="I253" s="24"/>
      <c r="J253" s="33" t="str">
        <f t="shared" si="9"/>
        <v/>
      </c>
      <c r="K253" s="26">
        <v>0</v>
      </c>
      <c r="L253" s="27">
        <v>23.3</v>
      </c>
      <c r="M253" s="28">
        <v>0</v>
      </c>
      <c r="N253" s="27">
        <f t="shared" si="10"/>
        <v>23.3</v>
      </c>
      <c r="O253" s="29">
        <f t="shared" si="11"/>
        <v>23.3</v>
      </c>
    </row>
    <row r="254" spans="1:15" x14ac:dyDescent="0.25">
      <c r="A254" s="19">
        <v>240</v>
      </c>
      <c r="B254" s="19">
        <v>594301</v>
      </c>
      <c r="C254" s="20">
        <v>7890704851335</v>
      </c>
      <c r="D254" s="21" t="s">
        <v>326</v>
      </c>
      <c r="E254" s="21" t="s">
        <v>131</v>
      </c>
      <c r="F254" s="19">
        <v>1</v>
      </c>
      <c r="G254" s="22"/>
      <c r="H254" s="23"/>
      <c r="I254" s="24"/>
      <c r="J254" s="25" t="str">
        <f t="shared" si="9"/>
        <v/>
      </c>
      <c r="K254" s="26">
        <v>0</v>
      </c>
      <c r="L254" s="27">
        <v>24.01</v>
      </c>
      <c r="M254" s="28">
        <v>0</v>
      </c>
      <c r="N254" s="27">
        <f t="shared" si="10"/>
        <v>24.01</v>
      </c>
      <c r="O254" s="29">
        <f t="shared" si="11"/>
        <v>24.01</v>
      </c>
    </row>
    <row r="255" spans="1:15" x14ac:dyDescent="0.25">
      <c r="A255" s="30">
        <v>241</v>
      </c>
      <c r="B255" s="30">
        <v>129021</v>
      </c>
      <c r="C255" s="31">
        <v>7896637028523</v>
      </c>
      <c r="D255" s="32" t="s">
        <v>327</v>
      </c>
      <c r="E255" s="32" t="s">
        <v>86</v>
      </c>
      <c r="F255" s="30">
        <v>7</v>
      </c>
      <c r="G255" s="22"/>
      <c r="H255" s="23"/>
      <c r="I255" s="24"/>
      <c r="J255" s="33" t="str">
        <f t="shared" si="9"/>
        <v/>
      </c>
      <c r="K255" s="26">
        <v>1177</v>
      </c>
      <c r="L255" s="27">
        <v>26.73</v>
      </c>
      <c r="M255" s="28">
        <v>1.4999999999999999E-2</v>
      </c>
      <c r="N255" s="27">
        <f t="shared" si="10"/>
        <v>26.329049999999999</v>
      </c>
      <c r="O255" s="29">
        <f t="shared" si="11"/>
        <v>184.30334999999999</v>
      </c>
    </row>
    <row r="256" spans="1:15" x14ac:dyDescent="0.25">
      <c r="A256" s="19">
        <v>242</v>
      </c>
      <c r="B256" s="19">
        <v>310061</v>
      </c>
      <c r="C256" s="20">
        <v>7897411610750</v>
      </c>
      <c r="D256" s="21" t="s">
        <v>328</v>
      </c>
      <c r="E256" s="21" t="s">
        <v>310</v>
      </c>
      <c r="F256" s="19">
        <v>3</v>
      </c>
      <c r="G256" s="22"/>
      <c r="H256" s="23"/>
      <c r="I256" s="24"/>
      <c r="J256" s="25" t="str">
        <f t="shared" si="9"/>
        <v/>
      </c>
      <c r="K256" s="26">
        <v>330</v>
      </c>
      <c r="L256" s="27">
        <v>48.79</v>
      </c>
      <c r="M256" s="28">
        <v>0.03</v>
      </c>
      <c r="N256" s="27">
        <f t="shared" si="10"/>
        <v>47.326299999999996</v>
      </c>
      <c r="O256" s="29">
        <f t="shared" si="11"/>
        <v>141.97889999999998</v>
      </c>
    </row>
    <row r="257" spans="1:15" x14ac:dyDescent="0.25">
      <c r="A257" s="30">
        <v>243</v>
      </c>
      <c r="B257" s="30">
        <v>555341</v>
      </c>
      <c r="C257" s="31">
        <v>7898949409458</v>
      </c>
      <c r="D257" s="32" t="s">
        <v>329</v>
      </c>
      <c r="E257" s="32" t="s">
        <v>135</v>
      </c>
      <c r="F257" s="30">
        <v>2</v>
      </c>
      <c r="G257" s="22"/>
      <c r="H257" s="23"/>
      <c r="I257" s="24"/>
      <c r="J257" s="33" t="str">
        <f t="shared" si="9"/>
        <v/>
      </c>
      <c r="K257" s="26">
        <v>1735</v>
      </c>
      <c r="L257" s="27">
        <v>44.18</v>
      </c>
      <c r="M257" s="28">
        <v>0</v>
      </c>
      <c r="N257" s="27">
        <f t="shared" si="10"/>
        <v>44.18</v>
      </c>
      <c r="O257" s="29">
        <f t="shared" si="11"/>
        <v>88.36</v>
      </c>
    </row>
    <row r="258" spans="1:15" x14ac:dyDescent="0.25">
      <c r="A258" s="19">
        <v>244</v>
      </c>
      <c r="B258" s="19">
        <v>1183</v>
      </c>
      <c r="C258" s="20">
        <v>7898639691965</v>
      </c>
      <c r="D258" s="21" t="s">
        <v>330</v>
      </c>
      <c r="E258" s="21" t="s">
        <v>68</v>
      </c>
      <c r="F258" s="19">
        <v>1</v>
      </c>
      <c r="G258" s="22"/>
      <c r="H258" s="23"/>
      <c r="I258" s="24"/>
      <c r="J258" s="25" t="str">
        <f t="shared" si="9"/>
        <v/>
      </c>
      <c r="K258" s="34">
        <v>0</v>
      </c>
      <c r="L258" s="27">
        <v>0</v>
      </c>
      <c r="M258" s="28">
        <v>0</v>
      </c>
      <c r="N258" s="27">
        <f t="shared" si="10"/>
        <v>0</v>
      </c>
      <c r="O258" s="29">
        <f t="shared" si="11"/>
        <v>0</v>
      </c>
    </row>
    <row r="259" spans="1:15" x14ac:dyDescent="0.25">
      <c r="A259" s="30">
        <v>245</v>
      </c>
      <c r="B259" s="30">
        <v>655561</v>
      </c>
      <c r="C259" s="31">
        <v>7891317029869</v>
      </c>
      <c r="D259" s="32" t="s">
        <v>331</v>
      </c>
      <c r="E259" s="32" t="s">
        <v>56</v>
      </c>
      <c r="F259" s="30">
        <v>2</v>
      </c>
      <c r="G259" s="22"/>
      <c r="H259" s="23"/>
      <c r="I259" s="24"/>
      <c r="J259" s="33" t="str">
        <f t="shared" si="9"/>
        <v/>
      </c>
      <c r="K259" s="34">
        <v>0</v>
      </c>
      <c r="L259" s="27">
        <v>0</v>
      </c>
      <c r="M259" s="28">
        <v>0</v>
      </c>
      <c r="N259" s="27">
        <f t="shared" si="10"/>
        <v>0</v>
      </c>
      <c r="O259" s="29">
        <f t="shared" si="11"/>
        <v>0</v>
      </c>
    </row>
    <row r="260" spans="1:15" x14ac:dyDescent="0.25">
      <c r="A260" s="19">
        <v>246</v>
      </c>
      <c r="B260" s="19">
        <v>671941</v>
      </c>
      <c r="C260" s="20">
        <v>7891317040949</v>
      </c>
      <c r="D260" s="21" t="s">
        <v>332</v>
      </c>
      <c r="E260" s="21" t="s">
        <v>56</v>
      </c>
      <c r="F260" s="19">
        <v>2</v>
      </c>
      <c r="G260" s="22"/>
      <c r="H260" s="23"/>
      <c r="I260" s="24"/>
      <c r="J260" s="25" t="str">
        <f t="shared" si="9"/>
        <v/>
      </c>
      <c r="K260" s="26">
        <v>1</v>
      </c>
      <c r="L260" s="27">
        <v>45.48</v>
      </c>
      <c r="M260" s="28">
        <v>0.02</v>
      </c>
      <c r="N260" s="27">
        <f t="shared" si="10"/>
        <v>44.570399999999999</v>
      </c>
      <c r="O260" s="29">
        <f t="shared" si="11"/>
        <v>89.140799999999999</v>
      </c>
    </row>
    <row r="261" spans="1:15" x14ac:dyDescent="0.25">
      <c r="A261" s="30">
        <v>247</v>
      </c>
      <c r="B261" s="30">
        <v>434101</v>
      </c>
      <c r="C261" s="31">
        <v>7898560664373</v>
      </c>
      <c r="D261" s="32" t="s">
        <v>333</v>
      </c>
      <c r="E261" s="32" t="s">
        <v>334</v>
      </c>
      <c r="F261" s="30">
        <v>1</v>
      </c>
      <c r="G261" s="22"/>
      <c r="H261" s="23"/>
      <c r="I261" s="24"/>
      <c r="J261" s="33" t="str">
        <f t="shared" si="9"/>
        <v/>
      </c>
      <c r="K261" s="26">
        <v>1203</v>
      </c>
      <c r="L261" s="27">
        <v>83.8</v>
      </c>
      <c r="M261" s="28">
        <v>2.5000000000000001E-2</v>
      </c>
      <c r="N261" s="27">
        <f t="shared" si="10"/>
        <v>81.704999999999998</v>
      </c>
      <c r="O261" s="29">
        <f t="shared" si="11"/>
        <v>81.704999999999998</v>
      </c>
    </row>
    <row r="262" spans="1:15" x14ac:dyDescent="0.25">
      <c r="A262" s="19">
        <v>248</v>
      </c>
      <c r="B262" s="19">
        <v>651991</v>
      </c>
      <c r="C262" s="20">
        <v>7895858015664</v>
      </c>
      <c r="D262" s="21" t="s">
        <v>335</v>
      </c>
      <c r="E262" s="21"/>
      <c r="F262" s="19">
        <v>4</v>
      </c>
      <c r="G262" s="22"/>
      <c r="H262" s="23"/>
      <c r="I262" s="24"/>
      <c r="J262" s="25" t="str">
        <f t="shared" si="9"/>
        <v/>
      </c>
      <c r="K262" s="26">
        <v>768</v>
      </c>
      <c r="L262" s="27">
        <v>18.88</v>
      </c>
      <c r="M262" s="28">
        <v>0</v>
      </c>
      <c r="N262" s="27">
        <f t="shared" si="10"/>
        <v>18.88</v>
      </c>
      <c r="O262" s="29">
        <f t="shared" si="11"/>
        <v>75.52</v>
      </c>
    </row>
    <row r="263" spans="1:15" x14ac:dyDescent="0.25">
      <c r="A263" s="30">
        <v>249</v>
      </c>
      <c r="B263" s="30">
        <v>539621</v>
      </c>
      <c r="C263" s="31">
        <v>7895858015688</v>
      </c>
      <c r="D263" s="32" t="s">
        <v>336</v>
      </c>
      <c r="E263" s="32" t="s">
        <v>143</v>
      </c>
      <c r="F263" s="30">
        <v>17</v>
      </c>
      <c r="G263" s="22"/>
      <c r="H263" s="23"/>
      <c r="I263" s="24"/>
      <c r="J263" s="33" t="str">
        <f t="shared" si="9"/>
        <v/>
      </c>
      <c r="K263" s="26">
        <v>3301</v>
      </c>
      <c r="L263" s="27">
        <v>18.88</v>
      </c>
      <c r="M263" s="28">
        <v>0</v>
      </c>
      <c r="N263" s="27">
        <f t="shared" si="10"/>
        <v>18.88</v>
      </c>
      <c r="O263" s="29">
        <f t="shared" si="11"/>
        <v>320.95999999999998</v>
      </c>
    </row>
    <row r="264" spans="1:15" x14ac:dyDescent="0.25">
      <c r="A264" s="19">
        <v>250</v>
      </c>
      <c r="B264" s="19">
        <v>560961</v>
      </c>
      <c r="C264" s="20">
        <v>7895858015695</v>
      </c>
      <c r="D264" s="21" t="s">
        <v>337</v>
      </c>
      <c r="E264" s="21" t="s">
        <v>143</v>
      </c>
      <c r="F264" s="19">
        <v>5</v>
      </c>
      <c r="G264" s="22"/>
      <c r="H264" s="23"/>
      <c r="I264" s="24"/>
      <c r="J264" s="25" t="str">
        <f t="shared" si="9"/>
        <v/>
      </c>
      <c r="K264" s="26">
        <v>2343</v>
      </c>
      <c r="L264" s="27">
        <v>30.49</v>
      </c>
      <c r="M264" s="28">
        <v>0</v>
      </c>
      <c r="N264" s="27">
        <f t="shared" si="10"/>
        <v>30.49</v>
      </c>
      <c r="O264" s="29">
        <f t="shared" si="11"/>
        <v>152.44999999999999</v>
      </c>
    </row>
    <row r="265" spans="1:15" x14ac:dyDescent="0.25">
      <c r="A265" s="30">
        <v>251</v>
      </c>
      <c r="B265" s="30">
        <v>463241</v>
      </c>
      <c r="C265" s="31">
        <v>7896658002403</v>
      </c>
      <c r="D265" s="32" t="s">
        <v>338</v>
      </c>
      <c r="E265" s="32" t="s">
        <v>42</v>
      </c>
      <c r="F265" s="30">
        <v>2</v>
      </c>
      <c r="G265" s="22"/>
      <c r="H265" s="23"/>
      <c r="I265" s="24"/>
      <c r="J265" s="33" t="str">
        <f t="shared" si="9"/>
        <v/>
      </c>
      <c r="K265" s="26">
        <v>1130</v>
      </c>
      <c r="L265" s="27">
        <v>89.73</v>
      </c>
      <c r="M265" s="28">
        <v>0.02</v>
      </c>
      <c r="N265" s="27">
        <f t="shared" si="10"/>
        <v>87.935400000000001</v>
      </c>
      <c r="O265" s="29">
        <f t="shared" si="11"/>
        <v>175.8708</v>
      </c>
    </row>
    <row r="266" spans="1:15" x14ac:dyDescent="0.25">
      <c r="A266" s="19">
        <v>252</v>
      </c>
      <c r="B266" s="19">
        <v>320281</v>
      </c>
      <c r="C266" s="20">
        <v>7896658008764</v>
      </c>
      <c r="D266" s="21" t="s">
        <v>339</v>
      </c>
      <c r="E266" s="21" t="s">
        <v>42</v>
      </c>
      <c r="F266" s="19">
        <v>1</v>
      </c>
      <c r="G266" s="22"/>
      <c r="H266" s="23"/>
      <c r="I266" s="24"/>
      <c r="J266" s="25" t="str">
        <f t="shared" si="9"/>
        <v/>
      </c>
      <c r="K266" s="26">
        <v>352</v>
      </c>
      <c r="L266" s="27">
        <v>15.69</v>
      </c>
      <c r="M266" s="28">
        <v>0.02</v>
      </c>
      <c r="N266" s="27">
        <f t="shared" si="10"/>
        <v>15.376199999999999</v>
      </c>
      <c r="O266" s="29">
        <f t="shared" si="11"/>
        <v>15.376199999999999</v>
      </c>
    </row>
    <row r="267" spans="1:15" x14ac:dyDescent="0.25">
      <c r="A267" s="30">
        <v>253</v>
      </c>
      <c r="B267" s="30">
        <v>623531</v>
      </c>
      <c r="C267" s="31">
        <v>3337875803786</v>
      </c>
      <c r="D267" s="32" t="s">
        <v>340</v>
      </c>
      <c r="E267" s="32" t="s">
        <v>63</v>
      </c>
      <c r="F267" s="30">
        <v>1</v>
      </c>
      <c r="G267" s="22"/>
      <c r="H267" s="23"/>
      <c r="I267" s="24"/>
      <c r="J267" s="33" t="str">
        <f t="shared" si="9"/>
        <v/>
      </c>
      <c r="K267" s="26">
        <v>0</v>
      </c>
      <c r="L267" s="27">
        <v>206.58</v>
      </c>
      <c r="M267" s="28">
        <v>0</v>
      </c>
      <c r="N267" s="27">
        <f t="shared" si="10"/>
        <v>206.58</v>
      </c>
      <c r="O267" s="29">
        <f t="shared" si="11"/>
        <v>206.58</v>
      </c>
    </row>
    <row r="268" spans="1:15" x14ac:dyDescent="0.25">
      <c r="A268" s="19">
        <v>254</v>
      </c>
      <c r="B268" s="19">
        <v>619591</v>
      </c>
      <c r="C268" s="20">
        <v>4005900399861</v>
      </c>
      <c r="D268" s="21" t="s">
        <v>341</v>
      </c>
      <c r="E268" s="21" t="s">
        <v>131</v>
      </c>
      <c r="F268" s="19">
        <v>1</v>
      </c>
      <c r="G268" s="22"/>
      <c r="H268" s="23"/>
      <c r="I268" s="24"/>
      <c r="J268" s="25" t="str">
        <f t="shared" si="9"/>
        <v/>
      </c>
      <c r="K268" s="34">
        <v>0</v>
      </c>
      <c r="L268" s="27">
        <v>0</v>
      </c>
      <c r="M268" s="28">
        <v>0</v>
      </c>
      <c r="N268" s="27">
        <f t="shared" si="10"/>
        <v>0</v>
      </c>
      <c r="O268" s="29">
        <f t="shared" si="11"/>
        <v>0</v>
      </c>
    </row>
    <row r="269" spans="1:15" x14ac:dyDescent="0.25">
      <c r="A269" s="30">
        <v>255</v>
      </c>
      <c r="B269" s="30">
        <v>62761</v>
      </c>
      <c r="C269" s="31">
        <v>7896637023443</v>
      </c>
      <c r="D269" s="32" t="s">
        <v>342</v>
      </c>
      <c r="E269" s="32" t="s">
        <v>86</v>
      </c>
      <c r="F269" s="30">
        <v>1</v>
      </c>
      <c r="G269" s="22"/>
      <c r="H269" s="23"/>
      <c r="I269" s="24"/>
      <c r="J269" s="33" t="str">
        <f t="shared" si="9"/>
        <v/>
      </c>
      <c r="K269" s="34">
        <v>0</v>
      </c>
      <c r="L269" s="27">
        <v>0</v>
      </c>
      <c r="M269" s="28">
        <v>0</v>
      </c>
      <c r="N269" s="27">
        <f t="shared" si="10"/>
        <v>0</v>
      </c>
      <c r="O269" s="29">
        <f t="shared" si="11"/>
        <v>0</v>
      </c>
    </row>
    <row r="270" spans="1:15" x14ac:dyDescent="0.25">
      <c r="A270" s="19">
        <v>256</v>
      </c>
      <c r="B270" s="19">
        <v>284201</v>
      </c>
      <c r="C270" s="20">
        <v>7896676435672</v>
      </c>
      <c r="D270" s="21" t="s">
        <v>343</v>
      </c>
      <c r="E270" s="21" t="s">
        <v>52</v>
      </c>
      <c r="F270" s="19">
        <v>3</v>
      </c>
      <c r="G270" s="22"/>
      <c r="H270" s="23"/>
      <c r="I270" s="24"/>
      <c r="J270" s="25" t="str">
        <f t="shared" si="9"/>
        <v/>
      </c>
      <c r="K270" s="26">
        <v>316</v>
      </c>
      <c r="L270" s="27">
        <v>50.68</v>
      </c>
      <c r="M270" s="28">
        <v>0</v>
      </c>
      <c r="N270" s="27">
        <f t="shared" si="10"/>
        <v>50.68</v>
      </c>
      <c r="O270" s="29">
        <f t="shared" si="11"/>
        <v>152.04</v>
      </c>
    </row>
    <row r="271" spans="1:15" x14ac:dyDescent="0.25">
      <c r="A271" s="30">
        <v>257</v>
      </c>
      <c r="B271" s="30">
        <v>553481</v>
      </c>
      <c r="C271" s="31">
        <v>7895858017422</v>
      </c>
      <c r="D271" s="32" t="s">
        <v>344</v>
      </c>
      <c r="E271" s="32" t="s">
        <v>345</v>
      </c>
      <c r="F271" s="30">
        <v>7</v>
      </c>
      <c r="G271" s="22"/>
      <c r="H271" s="23"/>
      <c r="I271" s="24"/>
      <c r="J271" s="33" t="str">
        <f t="shared" ref="J271:J334" si="12">IF(G271="","",F271*G271)</f>
        <v/>
      </c>
      <c r="K271" s="34">
        <v>0</v>
      </c>
      <c r="L271" s="27">
        <v>0</v>
      </c>
      <c r="M271" s="28">
        <v>0</v>
      </c>
      <c r="N271" s="27">
        <f t="shared" si="10"/>
        <v>0</v>
      </c>
      <c r="O271" s="29">
        <f t="shared" si="11"/>
        <v>0</v>
      </c>
    </row>
    <row r="272" spans="1:15" x14ac:dyDescent="0.25">
      <c r="A272" s="30">
        <v>258</v>
      </c>
      <c r="B272" s="30">
        <v>553481</v>
      </c>
      <c r="C272" s="31">
        <v>7895858017439</v>
      </c>
      <c r="D272" s="32" t="s">
        <v>344</v>
      </c>
      <c r="E272" s="32" t="s">
        <v>345</v>
      </c>
      <c r="F272" s="30">
        <v>7</v>
      </c>
      <c r="G272" s="22"/>
      <c r="H272" s="23"/>
      <c r="I272" s="24"/>
      <c r="J272" s="33" t="str">
        <f t="shared" si="12"/>
        <v/>
      </c>
      <c r="K272" s="26">
        <v>316</v>
      </c>
      <c r="L272" s="27">
        <v>41.17</v>
      </c>
      <c r="M272" s="28">
        <v>0</v>
      </c>
      <c r="N272" s="27">
        <f t="shared" ref="N272:N335" si="13">L272-(L272*M272)</f>
        <v>41.17</v>
      </c>
      <c r="O272" s="29">
        <f t="shared" ref="O272:O335" si="14">N272*F272</f>
        <v>288.19</v>
      </c>
    </row>
    <row r="273" spans="1:15" x14ac:dyDescent="0.25">
      <c r="A273" s="19">
        <v>259</v>
      </c>
      <c r="B273" s="19">
        <v>449941</v>
      </c>
      <c r="C273" s="20">
        <v>7896026170475</v>
      </c>
      <c r="D273" s="21" t="s">
        <v>346</v>
      </c>
      <c r="E273" s="21" t="s">
        <v>117</v>
      </c>
      <c r="F273" s="19">
        <v>1</v>
      </c>
      <c r="G273" s="22"/>
      <c r="H273" s="23"/>
      <c r="I273" s="24"/>
      <c r="J273" s="25" t="str">
        <f t="shared" si="12"/>
        <v/>
      </c>
      <c r="K273" s="26">
        <v>0</v>
      </c>
      <c r="L273" s="27">
        <v>31.45</v>
      </c>
      <c r="M273" s="28">
        <v>0.04</v>
      </c>
      <c r="N273" s="27">
        <f t="shared" si="13"/>
        <v>30.192</v>
      </c>
      <c r="O273" s="29">
        <f t="shared" si="14"/>
        <v>30.192</v>
      </c>
    </row>
    <row r="274" spans="1:15" x14ac:dyDescent="0.25">
      <c r="A274" s="30">
        <v>260</v>
      </c>
      <c r="B274" s="30">
        <v>670631</v>
      </c>
      <c r="C274" s="31">
        <v>7896026173261</v>
      </c>
      <c r="D274" s="32" t="s">
        <v>347</v>
      </c>
      <c r="E274" s="32" t="s">
        <v>117</v>
      </c>
      <c r="F274" s="30">
        <v>4</v>
      </c>
      <c r="G274" s="22"/>
      <c r="H274" s="23"/>
      <c r="I274" s="24"/>
      <c r="J274" s="33" t="str">
        <f t="shared" si="12"/>
        <v/>
      </c>
      <c r="K274" s="26">
        <v>58</v>
      </c>
      <c r="L274" s="27">
        <v>30.55</v>
      </c>
      <c r="M274" s="28">
        <v>0.03</v>
      </c>
      <c r="N274" s="27">
        <f t="shared" si="13"/>
        <v>29.633500000000002</v>
      </c>
      <c r="O274" s="29">
        <f t="shared" si="14"/>
        <v>118.53400000000001</v>
      </c>
    </row>
    <row r="275" spans="1:15" x14ac:dyDescent="0.25">
      <c r="A275" s="19">
        <v>261</v>
      </c>
      <c r="B275" s="19">
        <v>654211</v>
      </c>
      <c r="C275" s="20">
        <v>7896026170406</v>
      </c>
      <c r="D275" s="21" t="s">
        <v>348</v>
      </c>
      <c r="E275" s="21" t="s">
        <v>117</v>
      </c>
      <c r="F275" s="19">
        <v>3</v>
      </c>
      <c r="G275" s="22"/>
      <c r="H275" s="23"/>
      <c r="I275" s="24"/>
      <c r="J275" s="25" t="str">
        <f t="shared" si="12"/>
        <v/>
      </c>
      <c r="K275" s="26">
        <v>149</v>
      </c>
      <c r="L275" s="27">
        <v>17.96</v>
      </c>
      <c r="M275" s="28">
        <v>0.03</v>
      </c>
      <c r="N275" s="27">
        <f t="shared" si="13"/>
        <v>17.421200000000002</v>
      </c>
      <c r="O275" s="29">
        <f t="shared" si="14"/>
        <v>52.263600000000011</v>
      </c>
    </row>
    <row r="276" spans="1:15" x14ac:dyDescent="0.25">
      <c r="A276" s="30">
        <v>262</v>
      </c>
      <c r="B276" s="30">
        <v>654261</v>
      </c>
      <c r="C276" s="31">
        <v>7896026172141</v>
      </c>
      <c r="D276" s="32" t="s">
        <v>349</v>
      </c>
      <c r="E276" s="32" t="s">
        <v>117</v>
      </c>
      <c r="F276" s="30">
        <v>2</v>
      </c>
      <c r="G276" s="22"/>
      <c r="H276" s="23"/>
      <c r="I276" s="24"/>
      <c r="J276" s="33" t="str">
        <f t="shared" si="12"/>
        <v/>
      </c>
      <c r="K276" s="26">
        <v>138</v>
      </c>
      <c r="L276" s="27">
        <v>17.96</v>
      </c>
      <c r="M276" s="28">
        <v>0.03</v>
      </c>
      <c r="N276" s="27">
        <f t="shared" si="13"/>
        <v>17.421200000000002</v>
      </c>
      <c r="O276" s="29">
        <f t="shared" si="14"/>
        <v>34.842400000000005</v>
      </c>
    </row>
    <row r="277" spans="1:15" x14ac:dyDescent="0.25">
      <c r="A277" s="19">
        <v>263</v>
      </c>
      <c r="B277" s="19">
        <v>654241</v>
      </c>
      <c r="C277" s="20">
        <v>7896026172158</v>
      </c>
      <c r="D277" s="21" t="s">
        <v>350</v>
      </c>
      <c r="E277" s="21" t="s">
        <v>117</v>
      </c>
      <c r="F277" s="19">
        <v>1</v>
      </c>
      <c r="G277" s="22"/>
      <c r="H277" s="23"/>
      <c r="I277" s="24"/>
      <c r="J277" s="25" t="str">
        <f t="shared" si="12"/>
        <v/>
      </c>
      <c r="K277" s="26">
        <v>165</v>
      </c>
      <c r="L277" s="27">
        <v>17.96</v>
      </c>
      <c r="M277" s="28">
        <v>0.03</v>
      </c>
      <c r="N277" s="27">
        <f t="shared" si="13"/>
        <v>17.421200000000002</v>
      </c>
      <c r="O277" s="29">
        <f t="shared" si="14"/>
        <v>17.421200000000002</v>
      </c>
    </row>
    <row r="278" spans="1:15" x14ac:dyDescent="0.25">
      <c r="A278" s="30">
        <v>264</v>
      </c>
      <c r="B278" s="30">
        <v>654231</v>
      </c>
      <c r="C278" s="31">
        <v>7896026170390</v>
      </c>
      <c r="D278" s="32" t="s">
        <v>351</v>
      </c>
      <c r="E278" s="32" t="s">
        <v>117</v>
      </c>
      <c r="F278" s="30">
        <v>2</v>
      </c>
      <c r="G278" s="22"/>
      <c r="H278" s="23"/>
      <c r="I278" s="24"/>
      <c r="J278" s="33" t="str">
        <f t="shared" si="12"/>
        <v/>
      </c>
      <c r="K278" s="26">
        <v>136</v>
      </c>
      <c r="L278" s="27">
        <v>17.96</v>
      </c>
      <c r="M278" s="28">
        <v>0.03</v>
      </c>
      <c r="N278" s="27">
        <f t="shared" si="13"/>
        <v>17.421200000000002</v>
      </c>
      <c r="O278" s="29">
        <f t="shared" si="14"/>
        <v>34.842400000000005</v>
      </c>
    </row>
    <row r="279" spans="1:15" x14ac:dyDescent="0.25">
      <c r="A279" s="19">
        <v>265</v>
      </c>
      <c r="B279" s="19">
        <v>60541</v>
      </c>
      <c r="C279" s="20">
        <v>7896026170550</v>
      </c>
      <c r="D279" s="21" t="s">
        <v>352</v>
      </c>
      <c r="E279" s="21" t="s">
        <v>117</v>
      </c>
      <c r="F279" s="19">
        <v>1</v>
      </c>
      <c r="G279" s="22"/>
      <c r="H279" s="23"/>
      <c r="I279" s="24"/>
      <c r="J279" s="25" t="str">
        <f t="shared" si="12"/>
        <v/>
      </c>
      <c r="K279" s="26">
        <v>66</v>
      </c>
      <c r="L279" s="27">
        <v>21.52</v>
      </c>
      <c r="M279" s="28">
        <v>0.04</v>
      </c>
      <c r="N279" s="27">
        <f t="shared" si="13"/>
        <v>20.659199999999998</v>
      </c>
      <c r="O279" s="29">
        <f t="shared" si="14"/>
        <v>20.659199999999998</v>
      </c>
    </row>
    <row r="280" spans="1:15" x14ac:dyDescent="0.25">
      <c r="A280" s="30">
        <v>266</v>
      </c>
      <c r="B280" s="30">
        <v>652311</v>
      </c>
      <c r="C280" s="31">
        <v>7896026170994</v>
      </c>
      <c r="D280" s="32" t="s">
        <v>353</v>
      </c>
      <c r="E280" s="32" t="s">
        <v>117</v>
      </c>
      <c r="F280" s="30">
        <v>1</v>
      </c>
      <c r="G280" s="22"/>
      <c r="H280" s="23"/>
      <c r="I280" s="24"/>
      <c r="J280" s="33" t="str">
        <f t="shared" si="12"/>
        <v/>
      </c>
      <c r="K280" s="26">
        <v>99</v>
      </c>
      <c r="L280" s="27">
        <v>16.2</v>
      </c>
      <c r="M280" s="28">
        <v>0.03</v>
      </c>
      <c r="N280" s="27">
        <f t="shared" si="13"/>
        <v>15.713999999999999</v>
      </c>
      <c r="O280" s="29">
        <f t="shared" si="14"/>
        <v>15.713999999999999</v>
      </c>
    </row>
    <row r="281" spans="1:15" x14ac:dyDescent="0.25">
      <c r="A281" s="19">
        <v>267</v>
      </c>
      <c r="B281" s="19">
        <v>652061</v>
      </c>
      <c r="C281" s="20">
        <v>7891317029951</v>
      </c>
      <c r="D281" s="21" t="s">
        <v>354</v>
      </c>
      <c r="E281" s="21"/>
      <c r="F281" s="19">
        <v>2</v>
      </c>
      <c r="G281" s="22"/>
      <c r="H281" s="23"/>
      <c r="I281" s="24"/>
      <c r="J281" s="25" t="str">
        <f t="shared" si="12"/>
        <v/>
      </c>
      <c r="K281" s="34">
        <v>0</v>
      </c>
      <c r="L281" s="27">
        <v>0</v>
      </c>
      <c r="M281" s="28">
        <v>0.02</v>
      </c>
      <c r="N281" s="27">
        <f t="shared" si="13"/>
        <v>0</v>
      </c>
      <c r="O281" s="29">
        <f t="shared" si="14"/>
        <v>0</v>
      </c>
    </row>
    <row r="282" spans="1:15" x14ac:dyDescent="0.25">
      <c r="A282" s="30">
        <v>268</v>
      </c>
      <c r="B282" s="30">
        <v>550821</v>
      </c>
      <c r="C282" s="31">
        <v>7898040325237</v>
      </c>
      <c r="D282" s="32" t="s">
        <v>355</v>
      </c>
      <c r="E282" s="32" t="s">
        <v>26</v>
      </c>
      <c r="F282" s="30">
        <v>2</v>
      </c>
      <c r="G282" s="22"/>
      <c r="H282" s="23"/>
      <c r="I282" s="24"/>
      <c r="J282" s="33" t="str">
        <f t="shared" si="12"/>
        <v/>
      </c>
      <c r="K282" s="26">
        <v>3070</v>
      </c>
      <c r="L282" s="27">
        <v>38.909999999999997</v>
      </c>
      <c r="M282" s="28">
        <v>0.03</v>
      </c>
      <c r="N282" s="27">
        <f t="shared" si="13"/>
        <v>37.742699999999999</v>
      </c>
      <c r="O282" s="29">
        <f t="shared" si="14"/>
        <v>75.485399999999998</v>
      </c>
    </row>
    <row r="283" spans="1:15" x14ac:dyDescent="0.25">
      <c r="A283" s="19">
        <v>269</v>
      </c>
      <c r="B283" s="19">
        <v>1563</v>
      </c>
      <c r="C283" s="20">
        <v>7898040326531</v>
      </c>
      <c r="D283" s="21" t="s">
        <v>356</v>
      </c>
      <c r="E283" s="21" t="s">
        <v>26</v>
      </c>
      <c r="F283" s="19">
        <v>1</v>
      </c>
      <c r="G283" s="22"/>
      <c r="H283" s="23"/>
      <c r="I283" s="24"/>
      <c r="J283" s="25" t="str">
        <f t="shared" si="12"/>
        <v/>
      </c>
      <c r="K283" s="26">
        <v>463</v>
      </c>
      <c r="L283" s="27">
        <v>50.65</v>
      </c>
      <c r="M283" s="28">
        <v>0.03</v>
      </c>
      <c r="N283" s="27">
        <f t="shared" si="13"/>
        <v>49.130499999999998</v>
      </c>
      <c r="O283" s="29">
        <f t="shared" si="14"/>
        <v>49.130499999999998</v>
      </c>
    </row>
    <row r="284" spans="1:15" x14ac:dyDescent="0.25">
      <c r="A284" s="30">
        <v>270</v>
      </c>
      <c r="B284" s="30">
        <v>653761</v>
      </c>
      <c r="C284" s="31">
        <v>7898244720609</v>
      </c>
      <c r="D284" s="32" t="s">
        <v>357</v>
      </c>
      <c r="E284" s="32" t="s">
        <v>140</v>
      </c>
      <c r="F284" s="30">
        <v>1</v>
      </c>
      <c r="G284" s="22"/>
      <c r="H284" s="23"/>
      <c r="I284" s="24"/>
      <c r="J284" s="33" t="str">
        <f t="shared" si="12"/>
        <v/>
      </c>
      <c r="K284" s="26">
        <v>0</v>
      </c>
      <c r="L284" s="27">
        <v>38.340000000000003</v>
      </c>
      <c r="M284" s="28">
        <v>0.03</v>
      </c>
      <c r="N284" s="27">
        <f t="shared" si="13"/>
        <v>37.189800000000005</v>
      </c>
      <c r="O284" s="29">
        <f t="shared" si="14"/>
        <v>37.189800000000005</v>
      </c>
    </row>
    <row r="285" spans="1:15" x14ac:dyDescent="0.25">
      <c r="A285" s="19">
        <v>271</v>
      </c>
      <c r="B285" s="19">
        <v>653771</v>
      </c>
      <c r="C285" s="20">
        <v>7898244720630</v>
      </c>
      <c r="D285" s="21" t="s">
        <v>358</v>
      </c>
      <c r="E285" s="21"/>
      <c r="F285" s="19">
        <v>1</v>
      </c>
      <c r="G285" s="22"/>
      <c r="H285" s="23"/>
      <c r="I285" s="24"/>
      <c r="J285" s="25" t="str">
        <f t="shared" si="12"/>
        <v/>
      </c>
      <c r="K285" s="26">
        <v>7</v>
      </c>
      <c r="L285" s="27">
        <v>65.16</v>
      </c>
      <c r="M285" s="28">
        <v>0.03</v>
      </c>
      <c r="N285" s="27">
        <f t="shared" si="13"/>
        <v>63.205199999999998</v>
      </c>
      <c r="O285" s="29">
        <f t="shared" si="14"/>
        <v>63.205199999999998</v>
      </c>
    </row>
    <row r="286" spans="1:15" x14ac:dyDescent="0.25">
      <c r="A286" s="30">
        <v>272</v>
      </c>
      <c r="B286" s="30">
        <v>478641</v>
      </c>
      <c r="C286" s="31">
        <v>7898040320928</v>
      </c>
      <c r="D286" s="32" t="s">
        <v>359</v>
      </c>
      <c r="E286" s="32" t="s">
        <v>26</v>
      </c>
      <c r="F286" s="30">
        <v>1</v>
      </c>
      <c r="G286" s="22"/>
      <c r="H286" s="23"/>
      <c r="I286" s="24"/>
      <c r="J286" s="33" t="str">
        <f t="shared" si="12"/>
        <v/>
      </c>
      <c r="K286" s="26">
        <v>435</v>
      </c>
      <c r="L286" s="27">
        <v>26.4</v>
      </c>
      <c r="M286" s="28">
        <v>0.03</v>
      </c>
      <c r="N286" s="27">
        <f t="shared" si="13"/>
        <v>25.607999999999997</v>
      </c>
      <c r="O286" s="29">
        <f t="shared" si="14"/>
        <v>25.607999999999997</v>
      </c>
    </row>
    <row r="287" spans="1:15" x14ac:dyDescent="0.25">
      <c r="A287" s="19">
        <v>273</v>
      </c>
      <c r="B287" s="19">
        <v>664741</v>
      </c>
      <c r="C287" s="20">
        <v>7891000359426</v>
      </c>
      <c r="D287" s="21" t="s">
        <v>360</v>
      </c>
      <c r="E287" s="21" t="s">
        <v>205</v>
      </c>
      <c r="F287" s="19">
        <v>1</v>
      </c>
      <c r="G287" s="22"/>
      <c r="H287" s="23"/>
      <c r="I287" s="24"/>
      <c r="J287" s="25" t="str">
        <f t="shared" si="12"/>
        <v/>
      </c>
      <c r="K287" s="26">
        <v>0</v>
      </c>
      <c r="L287" s="27">
        <v>66.19</v>
      </c>
      <c r="M287" s="28">
        <v>0</v>
      </c>
      <c r="N287" s="27">
        <f t="shared" si="13"/>
        <v>66.19</v>
      </c>
      <c r="O287" s="29">
        <f t="shared" si="14"/>
        <v>66.19</v>
      </c>
    </row>
    <row r="288" spans="1:15" x14ac:dyDescent="0.25">
      <c r="A288" s="30">
        <v>274</v>
      </c>
      <c r="B288" s="30">
        <v>667521</v>
      </c>
      <c r="C288" s="31">
        <v>7891000361887</v>
      </c>
      <c r="D288" s="32" t="s">
        <v>361</v>
      </c>
      <c r="E288" s="32" t="s">
        <v>205</v>
      </c>
      <c r="F288" s="30">
        <v>1</v>
      </c>
      <c r="G288" s="22"/>
      <c r="H288" s="23"/>
      <c r="I288" s="24"/>
      <c r="J288" s="33" t="str">
        <f t="shared" si="12"/>
        <v/>
      </c>
      <c r="K288" s="34">
        <v>0</v>
      </c>
      <c r="L288" s="27">
        <v>0</v>
      </c>
      <c r="M288" s="28">
        <v>0</v>
      </c>
      <c r="N288" s="27">
        <f t="shared" si="13"/>
        <v>0</v>
      </c>
      <c r="O288" s="29">
        <f t="shared" si="14"/>
        <v>0</v>
      </c>
    </row>
    <row r="289" spans="1:15" x14ac:dyDescent="0.25">
      <c r="A289" s="19">
        <v>275</v>
      </c>
      <c r="B289" s="19">
        <v>206681</v>
      </c>
      <c r="C289" s="20">
        <v>7896548111727</v>
      </c>
      <c r="D289" s="21" t="s">
        <v>362</v>
      </c>
      <c r="E289" s="21" t="s">
        <v>72</v>
      </c>
      <c r="F289" s="19">
        <v>9</v>
      </c>
      <c r="G289" s="22"/>
      <c r="H289" s="23"/>
      <c r="I289" s="24"/>
      <c r="J289" s="25" t="str">
        <f t="shared" si="12"/>
        <v/>
      </c>
      <c r="K289" s="26">
        <v>5297</v>
      </c>
      <c r="L289" s="27">
        <v>8.8000000000000007</v>
      </c>
      <c r="M289" s="28">
        <v>0.04</v>
      </c>
      <c r="N289" s="27">
        <f t="shared" si="13"/>
        <v>8.4480000000000004</v>
      </c>
      <c r="O289" s="29">
        <f t="shared" si="14"/>
        <v>76.032000000000011</v>
      </c>
    </row>
    <row r="290" spans="1:15" x14ac:dyDescent="0.25">
      <c r="A290" s="30">
        <v>276</v>
      </c>
      <c r="B290" s="30">
        <v>588701</v>
      </c>
      <c r="C290" s="31">
        <v>7898495605533</v>
      </c>
      <c r="D290" s="32" t="s">
        <v>363</v>
      </c>
      <c r="E290" s="32" t="s">
        <v>300</v>
      </c>
      <c r="F290" s="30">
        <v>1</v>
      </c>
      <c r="G290" s="22"/>
      <c r="H290" s="23"/>
      <c r="I290" s="24"/>
      <c r="J290" s="33" t="str">
        <f t="shared" si="12"/>
        <v/>
      </c>
      <c r="K290" s="34">
        <v>0</v>
      </c>
      <c r="L290" s="27">
        <v>0</v>
      </c>
      <c r="M290" s="28">
        <v>0.02</v>
      </c>
      <c r="N290" s="27">
        <f t="shared" si="13"/>
        <v>0</v>
      </c>
      <c r="O290" s="29">
        <f t="shared" si="14"/>
        <v>0</v>
      </c>
    </row>
    <row r="291" spans="1:15" x14ac:dyDescent="0.25">
      <c r="A291" s="19">
        <v>277</v>
      </c>
      <c r="B291" s="19">
        <v>207481</v>
      </c>
      <c r="C291" s="20">
        <v>7896548111987</v>
      </c>
      <c r="D291" s="21" t="s">
        <v>364</v>
      </c>
      <c r="E291" s="21" t="s">
        <v>72</v>
      </c>
      <c r="F291" s="19">
        <v>1</v>
      </c>
      <c r="G291" s="22"/>
      <c r="H291" s="23"/>
      <c r="I291" s="24"/>
      <c r="J291" s="25" t="str">
        <f t="shared" si="12"/>
        <v/>
      </c>
      <c r="K291" s="26">
        <v>1172</v>
      </c>
      <c r="L291" s="27">
        <v>18.71</v>
      </c>
      <c r="M291" s="28">
        <v>0.04</v>
      </c>
      <c r="N291" s="27">
        <f t="shared" si="13"/>
        <v>17.961600000000001</v>
      </c>
      <c r="O291" s="29">
        <f t="shared" si="14"/>
        <v>17.961600000000001</v>
      </c>
    </row>
    <row r="292" spans="1:15" x14ac:dyDescent="0.25">
      <c r="A292" s="30">
        <v>278</v>
      </c>
      <c r="B292" s="30">
        <v>337721</v>
      </c>
      <c r="C292" s="31">
        <v>7896637023115</v>
      </c>
      <c r="D292" s="32" t="s">
        <v>365</v>
      </c>
      <c r="E292" s="32" t="s">
        <v>86</v>
      </c>
      <c r="F292" s="30">
        <v>9</v>
      </c>
      <c r="G292" s="22"/>
      <c r="H292" s="23"/>
      <c r="I292" s="24"/>
      <c r="J292" s="33" t="str">
        <f t="shared" si="12"/>
        <v/>
      </c>
      <c r="K292" s="26">
        <v>1421</v>
      </c>
      <c r="L292" s="27">
        <v>22.62</v>
      </c>
      <c r="M292" s="28">
        <v>1.4999999999999999E-2</v>
      </c>
      <c r="N292" s="27">
        <f t="shared" si="13"/>
        <v>22.2807</v>
      </c>
      <c r="O292" s="29">
        <f t="shared" si="14"/>
        <v>200.52629999999999</v>
      </c>
    </row>
    <row r="293" spans="1:15" x14ac:dyDescent="0.25">
      <c r="A293" s="19">
        <v>279</v>
      </c>
      <c r="B293" s="19">
        <v>337741</v>
      </c>
      <c r="C293" s="20">
        <v>7896637023641</v>
      </c>
      <c r="D293" s="21" t="s">
        <v>366</v>
      </c>
      <c r="E293" s="21" t="s">
        <v>86</v>
      </c>
      <c r="F293" s="19">
        <v>4</v>
      </c>
      <c r="G293" s="22"/>
      <c r="H293" s="23"/>
      <c r="I293" s="24"/>
      <c r="J293" s="25" t="str">
        <f t="shared" si="12"/>
        <v/>
      </c>
      <c r="K293" s="26">
        <v>647</v>
      </c>
      <c r="L293" s="27">
        <v>40.75</v>
      </c>
      <c r="M293" s="28">
        <v>1.4999999999999999E-2</v>
      </c>
      <c r="N293" s="27">
        <f t="shared" si="13"/>
        <v>40.138750000000002</v>
      </c>
      <c r="O293" s="29">
        <f t="shared" si="14"/>
        <v>160.55500000000001</v>
      </c>
    </row>
    <row r="294" spans="1:15" x14ac:dyDescent="0.25">
      <c r="A294" s="30">
        <v>280</v>
      </c>
      <c r="B294" s="30">
        <v>640331</v>
      </c>
      <c r="C294" s="31">
        <v>7897947610491</v>
      </c>
      <c r="D294" s="32" t="s">
        <v>367</v>
      </c>
      <c r="E294" s="32"/>
      <c r="F294" s="30">
        <v>1</v>
      </c>
      <c r="G294" s="22"/>
      <c r="H294" s="23"/>
      <c r="I294" s="24"/>
      <c r="J294" s="33" t="str">
        <f t="shared" si="12"/>
        <v/>
      </c>
      <c r="K294" s="34">
        <v>0</v>
      </c>
      <c r="L294" s="27">
        <v>0</v>
      </c>
      <c r="M294" s="28">
        <v>0</v>
      </c>
      <c r="N294" s="27">
        <f t="shared" si="13"/>
        <v>0</v>
      </c>
      <c r="O294" s="29">
        <f t="shared" si="14"/>
        <v>0</v>
      </c>
    </row>
    <row r="295" spans="1:15" x14ac:dyDescent="0.25">
      <c r="A295" s="19">
        <v>281</v>
      </c>
      <c r="B295" s="19">
        <v>673191</v>
      </c>
      <c r="C295" s="20">
        <v>7896023752513</v>
      </c>
      <c r="D295" s="21" t="s">
        <v>368</v>
      </c>
      <c r="E295" s="21" t="s">
        <v>243</v>
      </c>
      <c r="F295" s="19">
        <v>3</v>
      </c>
      <c r="G295" s="22"/>
      <c r="H295" s="23"/>
      <c r="I295" s="24"/>
      <c r="J295" s="25" t="str">
        <f t="shared" si="12"/>
        <v/>
      </c>
      <c r="K295" s="26">
        <v>66</v>
      </c>
      <c r="L295" s="27">
        <v>14.49</v>
      </c>
      <c r="M295" s="28">
        <v>0</v>
      </c>
      <c r="N295" s="27">
        <f t="shared" si="13"/>
        <v>14.49</v>
      </c>
      <c r="O295" s="29">
        <f t="shared" si="14"/>
        <v>43.47</v>
      </c>
    </row>
    <row r="296" spans="1:15" x14ac:dyDescent="0.25">
      <c r="A296" s="30">
        <v>282</v>
      </c>
      <c r="B296" s="30">
        <v>3223</v>
      </c>
      <c r="C296" s="31">
        <v>7896023708626</v>
      </c>
      <c r="D296" s="32" t="s">
        <v>369</v>
      </c>
      <c r="E296" s="32"/>
      <c r="F296" s="30">
        <v>1</v>
      </c>
      <c r="G296" s="22"/>
      <c r="H296" s="23"/>
      <c r="I296" s="24"/>
      <c r="J296" s="33" t="str">
        <f t="shared" si="12"/>
        <v/>
      </c>
      <c r="K296" s="26">
        <v>135</v>
      </c>
      <c r="L296" s="27">
        <v>19.38</v>
      </c>
      <c r="M296" s="28">
        <v>0</v>
      </c>
      <c r="N296" s="27">
        <f t="shared" si="13"/>
        <v>19.38</v>
      </c>
      <c r="O296" s="29">
        <f t="shared" si="14"/>
        <v>19.38</v>
      </c>
    </row>
    <row r="297" spans="1:15" x14ac:dyDescent="0.25">
      <c r="A297" s="19">
        <v>283</v>
      </c>
      <c r="B297" s="19">
        <v>627701</v>
      </c>
      <c r="C297" s="20">
        <v>7896023793332</v>
      </c>
      <c r="D297" s="21" t="s">
        <v>370</v>
      </c>
      <c r="E297" s="21" t="s">
        <v>243</v>
      </c>
      <c r="F297" s="19">
        <v>1</v>
      </c>
      <c r="G297" s="22"/>
      <c r="H297" s="23"/>
      <c r="I297" s="24"/>
      <c r="J297" s="25" t="str">
        <f t="shared" si="12"/>
        <v/>
      </c>
      <c r="K297" s="26">
        <v>206</v>
      </c>
      <c r="L297" s="27">
        <v>14.49</v>
      </c>
      <c r="M297" s="28">
        <v>0</v>
      </c>
      <c r="N297" s="27">
        <f t="shared" si="13"/>
        <v>14.49</v>
      </c>
      <c r="O297" s="29">
        <f t="shared" si="14"/>
        <v>14.49</v>
      </c>
    </row>
    <row r="298" spans="1:15" x14ac:dyDescent="0.25">
      <c r="A298" s="30">
        <v>284</v>
      </c>
      <c r="B298" s="30">
        <v>548221</v>
      </c>
      <c r="C298" s="31">
        <v>7896023719899</v>
      </c>
      <c r="D298" s="32" t="s">
        <v>371</v>
      </c>
      <c r="E298" s="32" t="s">
        <v>243</v>
      </c>
      <c r="F298" s="30">
        <v>2</v>
      </c>
      <c r="G298" s="22"/>
      <c r="H298" s="23"/>
      <c r="I298" s="24"/>
      <c r="J298" s="33" t="str">
        <f t="shared" si="12"/>
        <v/>
      </c>
      <c r="K298" s="26">
        <v>607</v>
      </c>
      <c r="L298" s="27">
        <v>17.46</v>
      </c>
      <c r="M298" s="28">
        <v>0</v>
      </c>
      <c r="N298" s="27">
        <f t="shared" si="13"/>
        <v>17.46</v>
      </c>
      <c r="O298" s="29">
        <f t="shared" si="14"/>
        <v>34.92</v>
      </c>
    </row>
    <row r="299" spans="1:15" x14ac:dyDescent="0.25">
      <c r="A299" s="19">
        <v>285</v>
      </c>
      <c r="B299" s="19">
        <v>626141</v>
      </c>
      <c r="C299" s="20">
        <v>7891317011598</v>
      </c>
      <c r="D299" s="21" t="s">
        <v>372</v>
      </c>
      <c r="E299" s="21" t="s">
        <v>40</v>
      </c>
      <c r="F299" s="19">
        <v>2</v>
      </c>
      <c r="G299" s="22"/>
      <c r="H299" s="23"/>
      <c r="I299" s="24"/>
      <c r="J299" s="25" t="str">
        <f t="shared" si="12"/>
        <v/>
      </c>
      <c r="K299" s="26">
        <v>0</v>
      </c>
      <c r="L299" s="27">
        <v>38.82</v>
      </c>
      <c r="M299" s="28">
        <v>0.02</v>
      </c>
      <c r="N299" s="27">
        <f t="shared" si="13"/>
        <v>38.043599999999998</v>
      </c>
      <c r="O299" s="29">
        <f t="shared" si="14"/>
        <v>76.087199999999996</v>
      </c>
    </row>
    <row r="300" spans="1:15" x14ac:dyDescent="0.25">
      <c r="A300" s="30">
        <v>286</v>
      </c>
      <c r="B300" s="30">
        <v>158801</v>
      </c>
      <c r="C300" s="31">
        <v>7896658012419</v>
      </c>
      <c r="D300" s="32" t="s">
        <v>373</v>
      </c>
      <c r="E300" s="32" t="s">
        <v>42</v>
      </c>
      <c r="F300" s="30">
        <v>3</v>
      </c>
      <c r="G300" s="22"/>
      <c r="H300" s="23"/>
      <c r="I300" s="24"/>
      <c r="J300" s="33" t="str">
        <f t="shared" si="12"/>
        <v/>
      </c>
      <c r="K300" s="26">
        <v>868</v>
      </c>
      <c r="L300" s="27">
        <v>67.05</v>
      </c>
      <c r="M300" s="28">
        <v>0.02</v>
      </c>
      <c r="N300" s="27">
        <f t="shared" si="13"/>
        <v>65.709000000000003</v>
      </c>
      <c r="O300" s="29">
        <f t="shared" si="14"/>
        <v>197.12700000000001</v>
      </c>
    </row>
    <row r="301" spans="1:15" x14ac:dyDescent="0.25">
      <c r="A301" s="19">
        <v>287</v>
      </c>
      <c r="B301" s="19">
        <v>663861</v>
      </c>
      <c r="C301" s="20">
        <v>7891106916233</v>
      </c>
      <c r="D301" s="21" t="s">
        <v>374</v>
      </c>
      <c r="E301" s="21" t="s">
        <v>80</v>
      </c>
      <c r="F301" s="19">
        <v>3</v>
      </c>
      <c r="G301" s="22"/>
      <c r="H301" s="23"/>
      <c r="I301" s="24"/>
      <c r="J301" s="25" t="str">
        <f t="shared" si="12"/>
        <v/>
      </c>
      <c r="K301" s="26">
        <v>4894</v>
      </c>
      <c r="L301" s="27">
        <v>36</v>
      </c>
      <c r="M301" s="28">
        <v>0.04</v>
      </c>
      <c r="N301" s="27">
        <f t="shared" si="13"/>
        <v>34.56</v>
      </c>
      <c r="O301" s="29">
        <f t="shared" si="14"/>
        <v>103.68</v>
      </c>
    </row>
    <row r="302" spans="1:15" x14ac:dyDescent="0.25">
      <c r="A302" s="30">
        <v>288</v>
      </c>
      <c r="B302" s="30">
        <v>622911</v>
      </c>
      <c r="C302" s="31">
        <v>20800750165</v>
      </c>
      <c r="D302" s="32" t="s">
        <v>375</v>
      </c>
      <c r="E302" s="32" t="s">
        <v>44</v>
      </c>
      <c r="F302" s="30">
        <v>2</v>
      </c>
      <c r="G302" s="22"/>
      <c r="H302" s="23"/>
      <c r="I302" s="24"/>
      <c r="J302" s="33" t="str">
        <f t="shared" si="12"/>
        <v/>
      </c>
      <c r="K302" s="26">
        <v>398</v>
      </c>
      <c r="L302" s="27">
        <v>57.47</v>
      </c>
      <c r="M302" s="28">
        <v>0.05</v>
      </c>
      <c r="N302" s="27">
        <f t="shared" si="13"/>
        <v>54.596499999999999</v>
      </c>
      <c r="O302" s="29">
        <f t="shared" si="14"/>
        <v>109.193</v>
      </c>
    </row>
    <row r="303" spans="1:15" x14ac:dyDescent="0.25">
      <c r="A303" s="19">
        <v>289</v>
      </c>
      <c r="B303" s="19">
        <v>665551</v>
      </c>
      <c r="C303" s="20">
        <v>20800750158</v>
      </c>
      <c r="D303" s="21" t="s">
        <v>376</v>
      </c>
      <c r="E303" s="21" t="s">
        <v>44</v>
      </c>
      <c r="F303" s="19">
        <v>1</v>
      </c>
      <c r="G303" s="22"/>
      <c r="H303" s="23"/>
      <c r="I303" s="24"/>
      <c r="J303" s="25" t="str">
        <f t="shared" si="12"/>
        <v/>
      </c>
      <c r="K303" s="26">
        <v>192</v>
      </c>
      <c r="L303" s="27">
        <v>110.86</v>
      </c>
      <c r="M303" s="28">
        <v>0.05</v>
      </c>
      <c r="N303" s="27">
        <f t="shared" si="13"/>
        <v>105.31699999999999</v>
      </c>
      <c r="O303" s="29">
        <f t="shared" si="14"/>
        <v>105.31699999999999</v>
      </c>
    </row>
    <row r="304" spans="1:15" x14ac:dyDescent="0.25">
      <c r="A304" s="30">
        <v>290</v>
      </c>
      <c r="B304" s="30">
        <v>225321</v>
      </c>
      <c r="C304" s="31">
        <v>7896004760995</v>
      </c>
      <c r="D304" s="32" t="s">
        <v>377</v>
      </c>
      <c r="E304" s="32" t="s">
        <v>122</v>
      </c>
      <c r="F304" s="30">
        <v>2</v>
      </c>
      <c r="G304" s="22"/>
      <c r="H304" s="23"/>
      <c r="I304" s="24"/>
      <c r="J304" s="33" t="str">
        <f t="shared" si="12"/>
        <v/>
      </c>
      <c r="K304" s="26">
        <v>0</v>
      </c>
      <c r="L304" s="27">
        <v>16.989999999999998</v>
      </c>
      <c r="M304" s="28">
        <v>0.02</v>
      </c>
      <c r="N304" s="27">
        <f t="shared" si="13"/>
        <v>16.650199999999998</v>
      </c>
      <c r="O304" s="29">
        <f t="shared" si="14"/>
        <v>33.300399999999996</v>
      </c>
    </row>
    <row r="305" spans="1:15" x14ac:dyDescent="0.25">
      <c r="A305" s="19">
        <v>291</v>
      </c>
      <c r="B305" s="19">
        <v>621241</v>
      </c>
      <c r="C305" s="20">
        <v>7896920304334</v>
      </c>
      <c r="D305" s="21" t="s">
        <v>378</v>
      </c>
      <c r="E305" s="21" t="s">
        <v>379</v>
      </c>
      <c r="F305" s="19">
        <v>6</v>
      </c>
      <c r="G305" s="22"/>
      <c r="H305" s="23"/>
      <c r="I305" s="24"/>
      <c r="J305" s="25" t="str">
        <f t="shared" si="12"/>
        <v/>
      </c>
      <c r="K305" s="34">
        <v>0</v>
      </c>
      <c r="L305" s="27">
        <v>0</v>
      </c>
      <c r="M305" s="28">
        <v>0</v>
      </c>
      <c r="N305" s="27">
        <f t="shared" si="13"/>
        <v>0</v>
      </c>
      <c r="O305" s="29">
        <f t="shared" si="14"/>
        <v>0</v>
      </c>
    </row>
    <row r="306" spans="1:15" x14ac:dyDescent="0.25">
      <c r="A306" s="30">
        <v>292</v>
      </c>
      <c r="B306" s="30">
        <v>557961</v>
      </c>
      <c r="C306" s="31">
        <v>7896920304037</v>
      </c>
      <c r="D306" s="32" t="s">
        <v>380</v>
      </c>
      <c r="E306" s="32" t="s">
        <v>379</v>
      </c>
      <c r="F306" s="30">
        <v>6</v>
      </c>
      <c r="G306" s="22"/>
      <c r="H306" s="23"/>
      <c r="I306" s="24"/>
      <c r="J306" s="33" t="str">
        <f t="shared" si="12"/>
        <v/>
      </c>
      <c r="K306" s="34">
        <v>0</v>
      </c>
      <c r="L306" s="27">
        <v>0</v>
      </c>
      <c r="M306" s="28">
        <v>0</v>
      </c>
      <c r="N306" s="27">
        <f t="shared" si="13"/>
        <v>0</v>
      </c>
      <c r="O306" s="29">
        <f t="shared" si="14"/>
        <v>0</v>
      </c>
    </row>
    <row r="307" spans="1:15" x14ac:dyDescent="0.25">
      <c r="A307" s="19">
        <v>293</v>
      </c>
      <c r="B307" s="19">
        <v>582261</v>
      </c>
      <c r="C307" s="20">
        <v>7891317015176</v>
      </c>
      <c r="D307" s="21" t="s">
        <v>381</v>
      </c>
      <c r="E307" s="21" t="s">
        <v>56</v>
      </c>
      <c r="F307" s="19">
        <v>3</v>
      </c>
      <c r="G307" s="22"/>
      <c r="H307" s="23"/>
      <c r="I307" s="24"/>
      <c r="J307" s="25" t="str">
        <f t="shared" si="12"/>
        <v/>
      </c>
      <c r="K307" s="26">
        <v>352</v>
      </c>
      <c r="L307" s="27">
        <v>46.04</v>
      </c>
      <c r="M307" s="28">
        <v>0.02</v>
      </c>
      <c r="N307" s="27">
        <f t="shared" si="13"/>
        <v>45.119199999999999</v>
      </c>
      <c r="O307" s="29">
        <f t="shared" si="14"/>
        <v>135.35759999999999</v>
      </c>
    </row>
    <row r="308" spans="1:15" x14ac:dyDescent="0.25">
      <c r="A308" s="30">
        <v>294</v>
      </c>
      <c r="B308" s="30">
        <v>133581</v>
      </c>
      <c r="C308" s="31">
        <v>7896637023665</v>
      </c>
      <c r="D308" s="32" t="s">
        <v>382</v>
      </c>
      <c r="E308" s="32" t="s">
        <v>86</v>
      </c>
      <c r="F308" s="30">
        <v>9</v>
      </c>
      <c r="G308" s="22"/>
      <c r="H308" s="23"/>
      <c r="I308" s="24"/>
      <c r="J308" s="33" t="str">
        <f t="shared" si="12"/>
        <v/>
      </c>
      <c r="K308" s="26">
        <v>774</v>
      </c>
      <c r="L308" s="27">
        <v>17.350000000000001</v>
      </c>
      <c r="M308" s="28">
        <v>1.4999999999999999E-2</v>
      </c>
      <c r="N308" s="27">
        <f t="shared" si="13"/>
        <v>17.089750000000002</v>
      </c>
      <c r="O308" s="29">
        <f t="shared" si="14"/>
        <v>153.80775000000003</v>
      </c>
    </row>
    <row r="309" spans="1:15" x14ac:dyDescent="0.25">
      <c r="A309" s="19">
        <v>295</v>
      </c>
      <c r="B309" s="19">
        <v>133601</v>
      </c>
      <c r="C309" s="20">
        <v>7896637023658</v>
      </c>
      <c r="D309" s="21" t="s">
        <v>383</v>
      </c>
      <c r="E309" s="21" t="s">
        <v>86</v>
      </c>
      <c r="F309" s="19">
        <v>1</v>
      </c>
      <c r="G309" s="22"/>
      <c r="H309" s="23"/>
      <c r="I309" s="24"/>
      <c r="J309" s="25" t="str">
        <f t="shared" si="12"/>
        <v/>
      </c>
      <c r="K309" s="26">
        <v>559</v>
      </c>
      <c r="L309" s="27">
        <v>15.57</v>
      </c>
      <c r="M309" s="28">
        <v>1.4999999999999999E-2</v>
      </c>
      <c r="N309" s="27">
        <f t="shared" si="13"/>
        <v>15.336450000000001</v>
      </c>
      <c r="O309" s="29">
        <f t="shared" si="14"/>
        <v>15.336450000000001</v>
      </c>
    </row>
    <row r="310" spans="1:15" x14ac:dyDescent="0.25">
      <c r="A310" s="30">
        <v>296</v>
      </c>
      <c r="B310" s="30">
        <v>134741</v>
      </c>
      <c r="C310" s="31">
        <v>7896637025102</v>
      </c>
      <c r="D310" s="32" t="s">
        <v>384</v>
      </c>
      <c r="E310" s="32" t="s">
        <v>86</v>
      </c>
      <c r="F310" s="30">
        <v>3</v>
      </c>
      <c r="G310" s="22"/>
      <c r="H310" s="23"/>
      <c r="I310" s="24"/>
      <c r="J310" s="33" t="str">
        <f t="shared" si="12"/>
        <v/>
      </c>
      <c r="K310" s="26">
        <v>274</v>
      </c>
      <c r="L310" s="27">
        <v>26.88</v>
      </c>
      <c r="M310" s="28">
        <v>1.4999999999999999E-2</v>
      </c>
      <c r="N310" s="27">
        <f t="shared" si="13"/>
        <v>26.476800000000001</v>
      </c>
      <c r="O310" s="29">
        <f t="shared" si="14"/>
        <v>79.430400000000006</v>
      </c>
    </row>
    <row r="311" spans="1:15" x14ac:dyDescent="0.25">
      <c r="A311" s="19">
        <v>297</v>
      </c>
      <c r="B311" s="19">
        <v>351341</v>
      </c>
      <c r="C311" s="20">
        <v>7897851250561</v>
      </c>
      <c r="D311" s="21" t="s">
        <v>385</v>
      </c>
      <c r="E311" s="21" t="s">
        <v>386</v>
      </c>
      <c r="F311" s="19">
        <v>1</v>
      </c>
      <c r="G311" s="22"/>
      <c r="H311" s="23"/>
      <c r="I311" s="24"/>
      <c r="J311" s="25" t="str">
        <f t="shared" si="12"/>
        <v/>
      </c>
      <c r="K311" s="26">
        <v>211</v>
      </c>
      <c r="L311" s="27">
        <v>15.69</v>
      </c>
      <c r="M311" s="28">
        <v>2.5000000000000001E-2</v>
      </c>
      <c r="N311" s="27">
        <f t="shared" si="13"/>
        <v>15.297749999999999</v>
      </c>
      <c r="O311" s="29">
        <f t="shared" si="14"/>
        <v>15.297749999999999</v>
      </c>
    </row>
    <row r="312" spans="1:15" x14ac:dyDescent="0.25">
      <c r="A312" s="30">
        <v>298</v>
      </c>
      <c r="B312" s="30">
        <v>351361</v>
      </c>
      <c r="C312" s="31">
        <v>7897851250585</v>
      </c>
      <c r="D312" s="32" t="s">
        <v>387</v>
      </c>
      <c r="E312" s="32" t="s">
        <v>386</v>
      </c>
      <c r="F312" s="30">
        <v>1</v>
      </c>
      <c r="G312" s="22"/>
      <c r="H312" s="23"/>
      <c r="I312" s="24"/>
      <c r="J312" s="33" t="str">
        <f t="shared" si="12"/>
        <v/>
      </c>
      <c r="K312" s="26">
        <v>33</v>
      </c>
      <c r="L312" s="27">
        <v>30.59</v>
      </c>
      <c r="M312" s="28">
        <v>2.5000000000000001E-2</v>
      </c>
      <c r="N312" s="27">
        <f t="shared" si="13"/>
        <v>29.82525</v>
      </c>
      <c r="O312" s="29">
        <f t="shared" si="14"/>
        <v>29.82525</v>
      </c>
    </row>
    <row r="313" spans="1:15" x14ac:dyDescent="0.25">
      <c r="A313" s="19">
        <v>299</v>
      </c>
      <c r="B313" s="19">
        <v>256161</v>
      </c>
      <c r="C313" s="20">
        <v>7898074614178</v>
      </c>
      <c r="D313" s="21" t="s">
        <v>388</v>
      </c>
      <c r="E313" s="21" t="s">
        <v>264</v>
      </c>
      <c r="F313" s="19">
        <v>6</v>
      </c>
      <c r="G313" s="22"/>
      <c r="H313" s="23"/>
      <c r="I313" s="24"/>
      <c r="J313" s="25" t="str">
        <f t="shared" si="12"/>
        <v/>
      </c>
      <c r="K313" s="26">
        <v>685</v>
      </c>
      <c r="L313" s="27">
        <v>56.99</v>
      </c>
      <c r="M313" s="28">
        <v>0.03</v>
      </c>
      <c r="N313" s="27">
        <f t="shared" si="13"/>
        <v>55.280300000000004</v>
      </c>
      <c r="O313" s="29">
        <f t="shared" si="14"/>
        <v>331.68180000000001</v>
      </c>
    </row>
    <row r="314" spans="1:15" x14ac:dyDescent="0.25">
      <c r="A314" s="30">
        <v>300</v>
      </c>
      <c r="B314" s="30">
        <v>229001</v>
      </c>
      <c r="C314" s="31">
        <v>7896212429738</v>
      </c>
      <c r="D314" s="32" t="s">
        <v>389</v>
      </c>
      <c r="E314" s="32" t="s">
        <v>99</v>
      </c>
      <c r="F314" s="30">
        <v>2</v>
      </c>
      <c r="G314" s="22"/>
      <c r="H314" s="23"/>
      <c r="I314" s="24"/>
      <c r="J314" s="33" t="str">
        <f t="shared" si="12"/>
        <v/>
      </c>
      <c r="K314" s="34">
        <v>0</v>
      </c>
      <c r="L314" s="27">
        <v>0</v>
      </c>
      <c r="M314" s="28">
        <v>0</v>
      </c>
      <c r="N314" s="27">
        <f t="shared" si="13"/>
        <v>0</v>
      </c>
      <c r="O314" s="29">
        <f t="shared" si="14"/>
        <v>0</v>
      </c>
    </row>
    <row r="315" spans="1:15" x14ac:dyDescent="0.25">
      <c r="A315" s="30">
        <v>301</v>
      </c>
      <c r="B315" s="30">
        <v>229001</v>
      </c>
      <c r="C315" s="31">
        <v>7891010256388</v>
      </c>
      <c r="D315" s="32" t="s">
        <v>389</v>
      </c>
      <c r="E315" s="32" t="s">
        <v>99</v>
      </c>
      <c r="F315" s="30">
        <v>2</v>
      </c>
      <c r="G315" s="22"/>
      <c r="H315" s="23"/>
      <c r="I315" s="24"/>
      <c r="J315" s="33" t="str">
        <f t="shared" si="12"/>
        <v/>
      </c>
      <c r="K315" s="26">
        <v>75</v>
      </c>
      <c r="L315" s="27">
        <v>29.52</v>
      </c>
      <c r="M315" s="28">
        <v>2.5000000000000001E-2</v>
      </c>
      <c r="N315" s="27">
        <f t="shared" si="13"/>
        <v>28.782</v>
      </c>
      <c r="O315" s="29">
        <f t="shared" si="14"/>
        <v>57.564</v>
      </c>
    </row>
    <row r="316" spans="1:15" x14ac:dyDescent="0.25">
      <c r="A316" s="19">
        <v>302</v>
      </c>
      <c r="B316" s="19">
        <v>133441</v>
      </c>
      <c r="C316" s="20">
        <v>7891317432362</v>
      </c>
      <c r="D316" s="21" t="s">
        <v>390</v>
      </c>
      <c r="E316" s="21" t="s">
        <v>40</v>
      </c>
      <c r="F316" s="19">
        <v>2</v>
      </c>
      <c r="G316" s="22"/>
      <c r="H316" s="23"/>
      <c r="I316" s="24"/>
      <c r="J316" s="25" t="str">
        <f t="shared" si="12"/>
        <v/>
      </c>
      <c r="K316" s="26">
        <v>528</v>
      </c>
      <c r="L316" s="27">
        <v>17.52</v>
      </c>
      <c r="M316" s="28">
        <v>0.02</v>
      </c>
      <c r="N316" s="27">
        <f t="shared" si="13"/>
        <v>17.169599999999999</v>
      </c>
      <c r="O316" s="29">
        <f t="shared" si="14"/>
        <v>34.339199999999998</v>
      </c>
    </row>
    <row r="317" spans="1:15" x14ac:dyDescent="0.25">
      <c r="A317" s="30">
        <v>303</v>
      </c>
      <c r="B317" s="30">
        <v>133421</v>
      </c>
      <c r="C317" s="31">
        <v>7891317432447</v>
      </c>
      <c r="D317" s="32" t="s">
        <v>391</v>
      </c>
      <c r="E317" s="32" t="s">
        <v>40</v>
      </c>
      <c r="F317" s="30">
        <v>1</v>
      </c>
      <c r="G317" s="22"/>
      <c r="H317" s="23"/>
      <c r="I317" s="24"/>
      <c r="J317" s="33" t="str">
        <f t="shared" si="12"/>
        <v/>
      </c>
      <c r="K317" s="26">
        <v>308</v>
      </c>
      <c r="L317" s="27">
        <v>15.73</v>
      </c>
      <c r="M317" s="28">
        <v>0.02</v>
      </c>
      <c r="N317" s="27">
        <f t="shared" si="13"/>
        <v>15.4154</v>
      </c>
      <c r="O317" s="29">
        <f t="shared" si="14"/>
        <v>15.4154</v>
      </c>
    </row>
    <row r="318" spans="1:15" x14ac:dyDescent="0.25">
      <c r="A318" s="19">
        <v>304</v>
      </c>
      <c r="B318" s="19">
        <v>328301</v>
      </c>
      <c r="C318" s="20">
        <v>7896094201637</v>
      </c>
      <c r="D318" s="21" t="s">
        <v>392</v>
      </c>
      <c r="E318" s="21" t="s">
        <v>54</v>
      </c>
      <c r="F318" s="19">
        <v>2</v>
      </c>
      <c r="G318" s="22"/>
      <c r="H318" s="23"/>
      <c r="I318" s="24"/>
      <c r="J318" s="25" t="str">
        <f t="shared" si="12"/>
        <v/>
      </c>
      <c r="K318" s="26">
        <v>522</v>
      </c>
      <c r="L318" s="27">
        <v>54.97</v>
      </c>
      <c r="M318" s="28">
        <v>0.01</v>
      </c>
      <c r="N318" s="27">
        <f t="shared" si="13"/>
        <v>54.420299999999997</v>
      </c>
      <c r="O318" s="29">
        <f t="shared" si="14"/>
        <v>108.84059999999999</v>
      </c>
    </row>
    <row r="319" spans="1:15" x14ac:dyDescent="0.25">
      <c r="A319" s="30">
        <v>305</v>
      </c>
      <c r="B319" s="30">
        <v>434881</v>
      </c>
      <c r="C319" s="31">
        <v>7891010256432</v>
      </c>
      <c r="D319" s="32" t="s">
        <v>393</v>
      </c>
      <c r="E319" s="32" t="s">
        <v>394</v>
      </c>
      <c r="F319" s="30">
        <v>3</v>
      </c>
      <c r="G319" s="22"/>
      <c r="H319" s="23"/>
      <c r="I319" s="24"/>
      <c r="J319" s="33" t="str">
        <f t="shared" si="12"/>
        <v/>
      </c>
      <c r="K319" s="26">
        <v>561</v>
      </c>
      <c r="L319" s="27">
        <v>48.93</v>
      </c>
      <c r="M319" s="28">
        <v>0</v>
      </c>
      <c r="N319" s="27">
        <f t="shared" si="13"/>
        <v>48.93</v>
      </c>
      <c r="O319" s="29">
        <f t="shared" si="14"/>
        <v>146.79</v>
      </c>
    </row>
    <row r="320" spans="1:15" x14ac:dyDescent="0.25">
      <c r="A320" s="19">
        <v>306</v>
      </c>
      <c r="B320" s="19">
        <v>634361</v>
      </c>
      <c r="C320" s="20">
        <v>7891010256425</v>
      </c>
      <c r="D320" s="21" t="s">
        <v>395</v>
      </c>
      <c r="E320" s="21" t="s">
        <v>99</v>
      </c>
      <c r="F320" s="19">
        <v>2</v>
      </c>
      <c r="G320" s="22"/>
      <c r="H320" s="23"/>
      <c r="I320" s="24"/>
      <c r="J320" s="25" t="str">
        <f t="shared" si="12"/>
        <v/>
      </c>
      <c r="K320" s="26">
        <v>777</v>
      </c>
      <c r="L320" s="27">
        <v>48.93</v>
      </c>
      <c r="M320" s="28">
        <v>0</v>
      </c>
      <c r="N320" s="27">
        <f t="shared" si="13"/>
        <v>48.93</v>
      </c>
      <c r="O320" s="29">
        <f t="shared" si="14"/>
        <v>97.86</v>
      </c>
    </row>
    <row r="321" spans="1:15" x14ac:dyDescent="0.25">
      <c r="A321" s="30">
        <v>307</v>
      </c>
      <c r="B321" s="30">
        <v>611031</v>
      </c>
      <c r="C321" s="31">
        <v>4015630064205</v>
      </c>
      <c r="D321" s="32" t="s">
        <v>396</v>
      </c>
      <c r="E321" s="32" t="s">
        <v>397</v>
      </c>
      <c r="F321" s="30">
        <v>1</v>
      </c>
      <c r="G321" s="22"/>
      <c r="H321" s="23"/>
      <c r="I321" s="24"/>
      <c r="J321" s="33" t="str">
        <f t="shared" si="12"/>
        <v/>
      </c>
      <c r="K321" s="26">
        <v>0</v>
      </c>
      <c r="L321" s="27">
        <v>29.89</v>
      </c>
      <c r="M321" s="28">
        <v>0</v>
      </c>
      <c r="N321" s="27">
        <f t="shared" si="13"/>
        <v>29.89</v>
      </c>
      <c r="O321" s="29">
        <f t="shared" si="14"/>
        <v>29.89</v>
      </c>
    </row>
    <row r="322" spans="1:15" x14ac:dyDescent="0.25">
      <c r="A322" s="19">
        <v>308</v>
      </c>
      <c r="B322" s="19">
        <v>204141</v>
      </c>
      <c r="C322" s="20">
        <v>7896094208124</v>
      </c>
      <c r="D322" s="21" t="s">
        <v>398</v>
      </c>
      <c r="E322" s="21" t="s">
        <v>54</v>
      </c>
      <c r="F322" s="19">
        <v>1</v>
      </c>
      <c r="G322" s="22"/>
      <c r="H322" s="23"/>
      <c r="I322" s="24"/>
      <c r="J322" s="25" t="str">
        <f t="shared" si="12"/>
        <v/>
      </c>
      <c r="K322" s="26">
        <v>15</v>
      </c>
      <c r="L322" s="27">
        <v>93.88</v>
      </c>
      <c r="M322" s="28">
        <v>0.01</v>
      </c>
      <c r="N322" s="27">
        <f t="shared" si="13"/>
        <v>92.941199999999995</v>
      </c>
      <c r="O322" s="29">
        <f t="shared" si="14"/>
        <v>92.941199999999995</v>
      </c>
    </row>
    <row r="323" spans="1:15" x14ac:dyDescent="0.25">
      <c r="A323" s="30">
        <v>309</v>
      </c>
      <c r="B323" s="30">
        <v>579461</v>
      </c>
      <c r="C323" s="31"/>
      <c r="D323" s="32" t="s">
        <v>399</v>
      </c>
      <c r="E323" s="32" t="s">
        <v>400</v>
      </c>
      <c r="F323" s="30">
        <v>1</v>
      </c>
      <c r="G323" s="22"/>
      <c r="H323" s="23"/>
      <c r="I323" s="24"/>
      <c r="J323" s="33" t="str">
        <f t="shared" si="12"/>
        <v/>
      </c>
      <c r="K323" s="34">
        <v>0</v>
      </c>
      <c r="L323" s="27">
        <v>0</v>
      </c>
      <c r="M323" s="28">
        <v>0</v>
      </c>
      <c r="N323" s="27">
        <f t="shared" si="13"/>
        <v>0</v>
      </c>
      <c r="O323" s="29">
        <f t="shared" si="14"/>
        <v>0</v>
      </c>
    </row>
    <row r="324" spans="1:15" x14ac:dyDescent="0.25">
      <c r="A324" s="19">
        <v>310</v>
      </c>
      <c r="B324" s="19">
        <v>624201</v>
      </c>
      <c r="C324" s="20">
        <v>7899706185844</v>
      </c>
      <c r="D324" s="21" t="s">
        <v>401</v>
      </c>
      <c r="E324" s="21" t="s">
        <v>63</v>
      </c>
      <c r="F324" s="19">
        <v>2</v>
      </c>
      <c r="G324" s="22"/>
      <c r="H324" s="23"/>
      <c r="I324" s="24"/>
      <c r="J324" s="25" t="str">
        <f t="shared" si="12"/>
        <v/>
      </c>
      <c r="K324" s="26">
        <v>1334</v>
      </c>
      <c r="L324" s="27">
        <v>86.45</v>
      </c>
      <c r="M324" s="28">
        <v>0</v>
      </c>
      <c r="N324" s="27">
        <f t="shared" si="13"/>
        <v>86.45</v>
      </c>
      <c r="O324" s="29">
        <f t="shared" si="14"/>
        <v>172.9</v>
      </c>
    </row>
    <row r="325" spans="1:15" x14ac:dyDescent="0.25">
      <c r="A325" s="30">
        <v>311</v>
      </c>
      <c r="B325" s="30">
        <v>237701</v>
      </c>
      <c r="C325" s="31">
        <v>7896094201477</v>
      </c>
      <c r="D325" s="32" t="s">
        <v>402</v>
      </c>
      <c r="E325" s="32" t="s">
        <v>54</v>
      </c>
      <c r="F325" s="30">
        <v>4</v>
      </c>
      <c r="G325" s="22"/>
      <c r="H325" s="23"/>
      <c r="I325" s="24"/>
      <c r="J325" s="33" t="str">
        <f t="shared" si="12"/>
        <v/>
      </c>
      <c r="K325" s="26">
        <v>80</v>
      </c>
      <c r="L325" s="27">
        <v>73.569999999999993</v>
      </c>
      <c r="M325" s="28">
        <v>0.01</v>
      </c>
      <c r="N325" s="27">
        <f t="shared" si="13"/>
        <v>72.834299999999999</v>
      </c>
      <c r="O325" s="29">
        <f t="shared" si="14"/>
        <v>291.3372</v>
      </c>
    </row>
    <row r="326" spans="1:15" x14ac:dyDescent="0.25">
      <c r="A326" s="19">
        <v>312</v>
      </c>
      <c r="B326" s="19">
        <v>644711</v>
      </c>
      <c r="C326" s="20">
        <v>7891010254025</v>
      </c>
      <c r="D326" s="21" t="s">
        <v>403</v>
      </c>
      <c r="E326" s="21" t="s">
        <v>404</v>
      </c>
      <c r="F326" s="19">
        <v>1</v>
      </c>
      <c r="G326" s="22"/>
      <c r="H326" s="23"/>
      <c r="I326" s="24"/>
      <c r="J326" s="25" t="str">
        <f t="shared" si="12"/>
        <v/>
      </c>
      <c r="K326" s="26">
        <v>24</v>
      </c>
      <c r="L326" s="27">
        <v>127.48</v>
      </c>
      <c r="M326" s="28">
        <v>0</v>
      </c>
      <c r="N326" s="27">
        <f t="shared" si="13"/>
        <v>127.48</v>
      </c>
      <c r="O326" s="29">
        <f t="shared" si="14"/>
        <v>127.48</v>
      </c>
    </row>
    <row r="327" spans="1:15" x14ac:dyDescent="0.25">
      <c r="A327" s="30">
        <v>313</v>
      </c>
      <c r="B327" s="30">
        <v>644791</v>
      </c>
      <c r="C327" s="31">
        <v>7891010248130</v>
      </c>
      <c r="D327" s="32" t="s">
        <v>405</v>
      </c>
      <c r="E327" s="32" t="s">
        <v>404</v>
      </c>
      <c r="F327" s="30">
        <v>2</v>
      </c>
      <c r="G327" s="22"/>
      <c r="H327" s="23"/>
      <c r="I327" s="24"/>
      <c r="J327" s="33" t="str">
        <f t="shared" si="12"/>
        <v/>
      </c>
      <c r="K327" s="26">
        <v>209</v>
      </c>
      <c r="L327" s="27">
        <v>156.49</v>
      </c>
      <c r="M327" s="28">
        <v>0</v>
      </c>
      <c r="N327" s="27">
        <f t="shared" si="13"/>
        <v>156.49</v>
      </c>
      <c r="O327" s="29">
        <f t="shared" si="14"/>
        <v>312.98</v>
      </c>
    </row>
    <row r="328" spans="1:15" x14ac:dyDescent="0.25">
      <c r="A328" s="19">
        <v>314</v>
      </c>
      <c r="B328" s="19">
        <v>669601</v>
      </c>
      <c r="C328" s="20">
        <v>7896046304126</v>
      </c>
      <c r="D328" s="21" t="s">
        <v>406</v>
      </c>
      <c r="E328" s="21"/>
      <c r="F328" s="19">
        <v>1</v>
      </c>
      <c r="G328" s="22"/>
      <c r="H328" s="23"/>
      <c r="I328" s="24"/>
      <c r="J328" s="25" t="str">
        <f t="shared" si="12"/>
        <v/>
      </c>
      <c r="K328" s="26">
        <v>0</v>
      </c>
      <c r="L328" s="27">
        <v>166.63</v>
      </c>
      <c r="M328" s="28">
        <v>0</v>
      </c>
      <c r="N328" s="27">
        <f t="shared" si="13"/>
        <v>166.63</v>
      </c>
      <c r="O328" s="29">
        <f t="shared" si="14"/>
        <v>166.63</v>
      </c>
    </row>
    <row r="329" spans="1:15" x14ac:dyDescent="0.25">
      <c r="A329" s="30">
        <v>315</v>
      </c>
      <c r="B329" s="30">
        <v>539781</v>
      </c>
      <c r="C329" s="31">
        <v>7891106914024</v>
      </c>
      <c r="D329" s="32" t="s">
        <v>407</v>
      </c>
      <c r="E329" s="32" t="s">
        <v>408</v>
      </c>
      <c r="F329" s="30">
        <v>3</v>
      </c>
      <c r="G329" s="22"/>
      <c r="H329" s="23"/>
      <c r="I329" s="24"/>
      <c r="J329" s="33" t="str">
        <f t="shared" si="12"/>
        <v/>
      </c>
      <c r="K329" s="34">
        <v>0</v>
      </c>
      <c r="L329" s="27">
        <v>0</v>
      </c>
      <c r="M329" s="28">
        <v>0</v>
      </c>
      <c r="N329" s="27">
        <f t="shared" si="13"/>
        <v>0</v>
      </c>
      <c r="O329" s="29">
        <f t="shared" si="14"/>
        <v>0</v>
      </c>
    </row>
    <row r="330" spans="1:15" x14ac:dyDescent="0.25">
      <c r="A330" s="30">
        <v>316</v>
      </c>
      <c r="B330" s="30">
        <v>539781</v>
      </c>
      <c r="C330" s="31">
        <v>7896006201687</v>
      </c>
      <c r="D330" s="32" t="s">
        <v>407</v>
      </c>
      <c r="E330" s="32" t="s">
        <v>408</v>
      </c>
      <c r="F330" s="30">
        <v>3</v>
      </c>
      <c r="G330" s="22"/>
      <c r="H330" s="23"/>
      <c r="I330" s="24"/>
      <c r="J330" s="33" t="str">
        <f t="shared" si="12"/>
        <v/>
      </c>
      <c r="K330" s="26">
        <v>1163</v>
      </c>
      <c r="L330" s="27">
        <v>7.32</v>
      </c>
      <c r="M330" s="28">
        <v>0.03</v>
      </c>
      <c r="N330" s="27">
        <f t="shared" si="13"/>
        <v>7.1004000000000005</v>
      </c>
      <c r="O330" s="29">
        <f t="shared" si="14"/>
        <v>21.301200000000001</v>
      </c>
    </row>
    <row r="331" spans="1:15" x14ac:dyDescent="0.25">
      <c r="A331" s="19">
        <v>317</v>
      </c>
      <c r="B331" s="19">
        <v>588721</v>
      </c>
      <c r="C331" s="20">
        <v>7891045031257</v>
      </c>
      <c r="D331" s="21" t="s">
        <v>409</v>
      </c>
      <c r="E331" s="21" t="s">
        <v>205</v>
      </c>
      <c r="F331" s="19">
        <v>10</v>
      </c>
      <c r="G331" s="22"/>
      <c r="H331" s="23"/>
      <c r="I331" s="24"/>
      <c r="J331" s="25" t="str">
        <f t="shared" si="12"/>
        <v/>
      </c>
      <c r="K331" s="26">
        <v>0</v>
      </c>
      <c r="L331" s="27">
        <v>58.31</v>
      </c>
      <c r="M331" s="28">
        <v>0</v>
      </c>
      <c r="N331" s="27">
        <f t="shared" si="13"/>
        <v>58.31</v>
      </c>
      <c r="O331" s="29">
        <f t="shared" si="14"/>
        <v>583.1</v>
      </c>
    </row>
    <row r="332" spans="1:15" x14ac:dyDescent="0.25">
      <c r="A332" s="30">
        <v>318</v>
      </c>
      <c r="B332" s="30">
        <v>644761</v>
      </c>
      <c r="C332" s="31">
        <v>7891010250959</v>
      </c>
      <c r="D332" s="32" t="s">
        <v>410</v>
      </c>
      <c r="E332" s="32" t="s">
        <v>404</v>
      </c>
      <c r="F332" s="30">
        <v>2</v>
      </c>
      <c r="G332" s="22"/>
      <c r="H332" s="23"/>
      <c r="I332" s="24"/>
      <c r="J332" s="33" t="str">
        <f t="shared" si="12"/>
        <v/>
      </c>
      <c r="K332" s="26">
        <v>66</v>
      </c>
      <c r="L332" s="27">
        <v>108.79</v>
      </c>
      <c r="M332" s="28">
        <v>0</v>
      </c>
      <c r="N332" s="27">
        <f t="shared" si="13"/>
        <v>108.79</v>
      </c>
      <c r="O332" s="29">
        <f t="shared" si="14"/>
        <v>217.58</v>
      </c>
    </row>
    <row r="333" spans="1:15" x14ac:dyDescent="0.25">
      <c r="A333" s="19">
        <v>319</v>
      </c>
      <c r="B333" s="19">
        <v>613781</v>
      </c>
      <c r="C333" s="20">
        <v>7891010249106</v>
      </c>
      <c r="D333" s="21" t="s">
        <v>411</v>
      </c>
      <c r="E333" s="21" t="s">
        <v>404</v>
      </c>
      <c r="F333" s="19">
        <v>1</v>
      </c>
      <c r="G333" s="22"/>
      <c r="H333" s="23"/>
      <c r="I333" s="24"/>
      <c r="J333" s="25" t="str">
        <f t="shared" si="12"/>
        <v/>
      </c>
      <c r="K333" s="26">
        <v>10</v>
      </c>
      <c r="L333" s="27">
        <v>120.19</v>
      </c>
      <c r="M333" s="28">
        <v>0</v>
      </c>
      <c r="N333" s="27">
        <f t="shared" si="13"/>
        <v>120.19</v>
      </c>
      <c r="O333" s="29">
        <f t="shared" si="14"/>
        <v>120.19</v>
      </c>
    </row>
    <row r="334" spans="1:15" x14ac:dyDescent="0.25">
      <c r="A334" s="30">
        <v>320</v>
      </c>
      <c r="B334" s="30">
        <v>358281</v>
      </c>
      <c r="C334" s="31">
        <v>7894916500548</v>
      </c>
      <c r="D334" s="32" t="s">
        <v>412</v>
      </c>
      <c r="E334" s="32" t="s">
        <v>122</v>
      </c>
      <c r="F334" s="30">
        <v>4</v>
      </c>
      <c r="G334" s="22"/>
      <c r="H334" s="23"/>
      <c r="I334" s="24"/>
      <c r="J334" s="33" t="str">
        <f t="shared" si="12"/>
        <v/>
      </c>
      <c r="K334" s="26">
        <v>421</v>
      </c>
      <c r="L334" s="27">
        <v>27.65</v>
      </c>
      <c r="M334" s="28">
        <v>0.02</v>
      </c>
      <c r="N334" s="27">
        <f t="shared" si="13"/>
        <v>27.096999999999998</v>
      </c>
      <c r="O334" s="29">
        <f t="shared" si="14"/>
        <v>108.38799999999999</v>
      </c>
    </row>
    <row r="335" spans="1:15" x14ac:dyDescent="0.25">
      <c r="A335" s="19">
        <v>321</v>
      </c>
      <c r="B335" s="19">
        <v>358321</v>
      </c>
      <c r="C335" s="20">
        <v>7894916500333</v>
      </c>
      <c r="D335" s="21" t="s">
        <v>413</v>
      </c>
      <c r="E335" s="21" t="s">
        <v>122</v>
      </c>
      <c r="F335" s="19">
        <v>11</v>
      </c>
      <c r="G335" s="22"/>
      <c r="H335" s="23"/>
      <c r="I335" s="24"/>
      <c r="J335" s="25" t="str">
        <f t="shared" ref="J335:J398" si="15">IF(G335="","",F335*G335)</f>
        <v/>
      </c>
      <c r="K335" s="26">
        <v>117</v>
      </c>
      <c r="L335" s="27">
        <v>48.43</v>
      </c>
      <c r="M335" s="28">
        <v>0.02</v>
      </c>
      <c r="N335" s="27">
        <f t="shared" si="13"/>
        <v>47.461399999999998</v>
      </c>
      <c r="O335" s="29">
        <f t="shared" si="14"/>
        <v>522.07539999999995</v>
      </c>
    </row>
    <row r="336" spans="1:15" x14ac:dyDescent="0.25">
      <c r="A336" s="30">
        <v>322</v>
      </c>
      <c r="B336" s="30">
        <v>358301</v>
      </c>
      <c r="C336" s="31">
        <v>7894916500272</v>
      </c>
      <c r="D336" s="32" t="s">
        <v>414</v>
      </c>
      <c r="E336" s="32" t="s">
        <v>122</v>
      </c>
      <c r="F336" s="30">
        <v>6</v>
      </c>
      <c r="G336" s="22"/>
      <c r="H336" s="23"/>
      <c r="I336" s="24"/>
      <c r="J336" s="33" t="str">
        <f t="shared" si="15"/>
        <v/>
      </c>
      <c r="K336" s="26">
        <v>0</v>
      </c>
      <c r="L336" s="27">
        <v>72.099999999999994</v>
      </c>
      <c r="M336" s="28">
        <v>0.02</v>
      </c>
      <c r="N336" s="27">
        <f t="shared" ref="N336:N399" si="16">L336-(L336*M336)</f>
        <v>70.658000000000001</v>
      </c>
      <c r="O336" s="29">
        <f t="shared" ref="O336:O399" si="17">N336*F336</f>
        <v>423.94799999999998</v>
      </c>
    </row>
    <row r="337" spans="1:15" x14ac:dyDescent="0.25">
      <c r="A337" s="19">
        <v>323</v>
      </c>
      <c r="B337" s="19">
        <v>654001</v>
      </c>
      <c r="C337" s="20">
        <v>7894916518239</v>
      </c>
      <c r="D337" s="21" t="s">
        <v>415</v>
      </c>
      <c r="E337" s="21" t="s">
        <v>122</v>
      </c>
      <c r="F337" s="19">
        <v>1</v>
      </c>
      <c r="G337" s="22"/>
      <c r="H337" s="23"/>
      <c r="I337" s="24"/>
      <c r="J337" s="25" t="str">
        <f t="shared" si="15"/>
        <v/>
      </c>
      <c r="K337" s="26">
        <v>50</v>
      </c>
      <c r="L337" s="27">
        <v>142.03</v>
      </c>
      <c r="M337" s="28">
        <v>0.02</v>
      </c>
      <c r="N337" s="27">
        <f t="shared" si="16"/>
        <v>139.18940000000001</v>
      </c>
      <c r="O337" s="29">
        <f t="shared" si="17"/>
        <v>139.18940000000001</v>
      </c>
    </row>
    <row r="338" spans="1:15" x14ac:dyDescent="0.25">
      <c r="A338" s="30">
        <v>324</v>
      </c>
      <c r="B338" s="30">
        <v>473</v>
      </c>
      <c r="C338" s="31">
        <v>7891010253899</v>
      </c>
      <c r="D338" s="32" t="s">
        <v>416</v>
      </c>
      <c r="E338" s="32" t="s">
        <v>307</v>
      </c>
      <c r="F338" s="30">
        <v>2</v>
      </c>
      <c r="G338" s="22"/>
      <c r="H338" s="23"/>
      <c r="I338" s="24"/>
      <c r="J338" s="33" t="str">
        <f t="shared" si="15"/>
        <v/>
      </c>
      <c r="K338" s="26">
        <v>1320</v>
      </c>
      <c r="L338" s="27">
        <v>21.25</v>
      </c>
      <c r="M338" s="28">
        <v>0</v>
      </c>
      <c r="N338" s="27">
        <f t="shared" si="16"/>
        <v>21.25</v>
      </c>
      <c r="O338" s="29">
        <f t="shared" si="17"/>
        <v>42.5</v>
      </c>
    </row>
    <row r="339" spans="1:15" x14ac:dyDescent="0.25">
      <c r="A339" s="19">
        <v>325</v>
      </c>
      <c r="B339" s="19">
        <v>652651</v>
      </c>
      <c r="C339" s="20">
        <v>4005900929679</v>
      </c>
      <c r="D339" s="21" t="s">
        <v>417</v>
      </c>
      <c r="E339" s="21" t="s">
        <v>131</v>
      </c>
      <c r="F339" s="19">
        <v>1</v>
      </c>
      <c r="G339" s="22"/>
      <c r="H339" s="23"/>
      <c r="I339" s="24"/>
      <c r="J339" s="25" t="str">
        <f t="shared" si="15"/>
        <v/>
      </c>
      <c r="K339" s="34">
        <v>0</v>
      </c>
      <c r="L339" s="27">
        <v>0</v>
      </c>
      <c r="M339" s="28">
        <v>0</v>
      </c>
      <c r="N339" s="27">
        <f t="shared" si="16"/>
        <v>0</v>
      </c>
      <c r="O339" s="29">
        <f t="shared" si="17"/>
        <v>0</v>
      </c>
    </row>
    <row r="340" spans="1:15" x14ac:dyDescent="0.25">
      <c r="A340" s="30">
        <v>326</v>
      </c>
      <c r="B340" s="30">
        <v>652661</v>
      </c>
      <c r="C340" s="31">
        <v>4005900929686</v>
      </c>
      <c r="D340" s="32" t="s">
        <v>418</v>
      </c>
      <c r="E340" s="32" t="s">
        <v>131</v>
      </c>
      <c r="F340" s="30">
        <v>1</v>
      </c>
      <c r="G340" s="22"/>
      <c r="H340" s="23"/>
      <c r="I340" s="24"/>
      <c r="J340" s="33" t="str">
        <f t="shared" si="15"/>
        <v/>
      </c>
      <c r="K340" s="34">
        <v>0</v>
      </c>
      <c r="L340" s="27">
        <v>0</v>
      </c>
      <c r="M340" s="28">
        <v>0</v>
      </c>
      <c r="N340" s="27">
        <f t="shared" si="16"/>
        <v>0</v>
      </c>
      <c r="O340" s="29">
        <f t="shared" si="17"/>
        <v>0</v>
      </c>
    </row>
    <row r="341" spans="1:15" x14ac:dyDescent="0.25">
      <c r="A341" s="19">
        <v>327</v>
      </c>
      <c r="B341" s="19">
        <v>393401</v>
      </c>
      <c r="C341" s="20">
        <v>7894916513661</v>
      </c>
      <c r="D341" s="21" t="s">
        <v>419</v>
      </c>
      <c r="E341" s="21" t="s">
        <v>122</v>
      </c>
      <c r="F341" s="19">
        <v>1</v>
      </c>
      <c r="G341" s="22"/>
      <c r="H341" s="23"/>
      <c r="I341" s="24"/>
      <c r="J341" s="25" t="str">
        <f t="shared" si="15"/>
        <v/>
      </c>
      <c r="K341" s="26">
        <v>453</v>
      </c>
      <c r="L341" s="27">
        <v>49.78</v>
      </c>
      <c r="M341" s="28">
        <v>0.02</v>
      </c>
      <c r="N341" s="27">
        <f t="shared" si="16"/>
        <v>48.784399999999998</v>
      </c>
      <c r="O341" s="29">
        <f t="shared" si="17"/>
        <v>48.784399999999998</v>
      </c>
    </row>
    <row r="342" spans="1:15" x14ac:dyDescent="0.25">
      <c r="A342" s="30">
        <v>328</v>
      </c>
      <c r="B342" s="30">
        <v>69161</v>
      </c>
      <c r="C342" s="31">
        <v>7891317460532</v>
      </c>
      <c r="D342" s="32" t="s">
        <v>420</v>
      </c>
      <c r="E342" s="32" t="s">
        <v>40</v>
      </c>
      <c r="F342" s="30">
        <v>1</v>
      </c>
      <c r="G342" s="22"/>
      <c r="H342" s="23"/>
      <c r="I342" s="24"/>
      <c r="J342" s="33" t="str">
        <f t="shared" si="15"/>
        <v/>
      </c>
      <c r="K342" s="26">
        <v>224</v>
      </c>
      <c r="L342" s="27">
        <v>35.299999999999997</v>
      </c>
      <c r="M342" s="28">
        <v>0.02</v>
      </c>
      <c r="N342" s="27">
        <f t="shared" si="16"/>
        <v>34.593999999999994</v>
      </c>
      <c r="O342" s="29">
        <f t="shared" si="17"/>
        <v>34.593999999999994</v>
      </c>
    </row>
    <row r="343" spans="1:15" x14ac:dyDescent="0.25">
      <c r="A343" s="19">
        <v>329</v>
      </c>
      <c r="B343" s="19">
        <v>652411</v>
      </c>
      <c r="C343" s="20">
        <v>7896026100229</v>
      </c>
      <c r="D343" s="21" t="s">
        <v>421</v>
      </c>
      <c r="E343" s="21" t="s">
        <v>117</v>
      </c>
      <c r="F343" s="19">
        <v>5</v>
      </c>
      <c r="G343" s="22"/>
      <c r="H343" s="23"/>
      <c r="I343" s="24"/>
      <c r="J343" s="25" t="str">
        <f t="shared" si="15"/>
        <v/>
      </c>
      <c r="K343" s="26">
        <v>210</v>
      </c>
      <c r="L343" s="27">
        <v>21.13</v>
      </c>
      <c r="M343" s="28">
        <v>0.03</v>
      </c>
      <c r="N343" s="27">
        <f t="shared" si="16"/>
        <v>20.496099999999998</v>
      </c>
      <c r="O343" s="29">
        <f t="shared" si="17"/>
        <v>102.48049999999999</v>
      </c>
    </row>
    <row r="344" spans="1:15" x14ac:dyDescent="0.25">
      <c r="A344" s="30">
        <v>330</v>
      </c>
      <c r="B344" s="30">
        <v>652331</v>
      </c>
      <c r="C344" s="31">
        <v>7896026160018</v>
      </c>
      <c r="D344" s="32" t="s">
        <v>422</v>
      </c>
      <c r="E344" s="32" t="s">
        <v>117</v>
      </c>
      <c r="F344" s="30">
        <v>2</v>
      </c>
      <c r="G344" s="22"/>
      <c r="H344" s="23"/>
      <c r="I344" s="24"/>
      <c r="J344" s="33" t="str">
        <f t="shared" si="15"/>
        <v/>
      </c>
      <c r="K344" s="26">
        <v>51</v>
      </c>
      <c r="L344" s="27">
        <v>21.13</v>
      </c>
      <c r="M344" s="28">
        <v>0.03</v>
      </c>
      <c r="N344" s="27">
        <f t="shared" si="16"/>
        <v>20.496099999999998</v>
      </c>
      <c r="O344" s="29">
        <f t="shared" si="17"/>
        <v>40.992199999999997</v>
      </c>
    </row>
    <row r="345" spans="1:15" x14ac:dyDescent="0.25">
      <c r="A345" s="19">
        <v>331</v>
      </c>
      <c r="B345" s="19">
        <v>579481</v>
      </c>
      <c r="C345" s="20">
        <v>7898581710608</v>
      </c>
      <c r="D345" s="21" t="s">
        <v>423</v>
      </c>
      <c r="E345" s="21" t="s">
        <v>424</v>
      </c>
      <c r="F345" s="19">
        <v>2</v>
      </c>
      <c r="G345" s="22"/>
      <c r="H345" s="23"/>
      <c r="I345" s="24"/>
      <c r="J345" s="25" t="str">
        <f t="shared" si="15"/>
        <v/>
      </c>
      <c r="K345" s="26">
        <v>0</v>
      </c>
      <c r="L345" s="27">
        <v>59.56</v>
      </c>
      <c r="M345" s="28">
        <v>0</v>
      </c>
      <c r="N345" s="27">
        <f t="shared" si="16"/>
        <v>59.56</v>
      </c>
      <c r="O345" s="29">
        <f t="shared" si="17"/>
        <v>119.12</v>
      </c>
    </row>
    <row r="346" spans="1:15" x14ac:dyDescent="0.25">
      <c r="A346" s="30">
        <v>332</v>
      </c>
      <c r="B346" s="30">
        <v>588811</v>
      </c>
      <c r="C346" s="31">
        <v>7898581710547</v>
      </c>
      <c r="D346" s="32" t="s">
        <v>425</v>
      </c>
      <c r="E346" s="32" t="s">
        <v>424</v>
      </c>
      <c r="F346" s="30">
        <v>6</v>
      </c>
      <c r="G346" s="22"/>
      <c r="H346" s="23"/>
      <c r="I346" s="24"/>
      <c r="J346" s="33" t="str">
        <f t="shared" si="15"/>
        <v/>
      </c>
      <c r="K346" s="26">
        <v>0</v>
      </c>
      <c r="L346" s="27">
        <v>58.48</v>
      </c>
      <c r="M346" s="28">
        <v>0</v>
      </c>
      <c r="N346" s="27">
        <f t="shared" si="16"/>
        <v>58.48</v>
      </c>
      <c r="O346" s="29">
        <f t="shared" si="17"/>
        <v>350.88</v>
      </c>
    </row>
    <row r="347" spans="1:15" x14ac:dyDescent="0.25">
      <c r="A347" s="19">
        <v>333</v>
      </c>
      <c r="B347" s="19">
        <v>247481</v>
      </c>
      <c r="C347" s="20">
        <v>7896641805479</v>
      </c>
      <c r="D347" s="21" t="s">
        <v>426</v>
      </c>
      <c r="E347" s="21" t="s">
        <v>424</v>
      </c>
      <c r="F347" s="19">
        <v>1</v>
      </c>
      <c r="G347" s="22"/>
      <c r="H347" s="23"/>
      <c r="I347" s="24"/>
      <c r="J347" s="25" t="str">
        <f t="shared" si="15"/>
        <v/>
      </c>
      <c r="K347" s="34">
        <v>0</v>
      </c>
      <c r="L347" s="27">
        <v>0</v>
      </c>
      <c r="M347" s="28">
        <v>0</v>
      </c>
      <c r="N347" s="27">
        <f t="shared" si="16"/>
        <v>0</v>
      </c>
      <c r="O347" s="29">
        <f t="shared" si="17"/>
        <v>0</v>
      </c>
    </row>
    <row r="348" spans="1:15" x14ac:dyDescent="0.25">
      <c r="A348" s="19">
        <v>334</v>
      </c>
      <c r="B348" s="19">
        <v>247481</v>
      </c>
      <c r="C348" s="20">
        <v>7898581710523</v>
      </c>
      <c r="D348" s="21" t="s">
        <v>426</v>
      </c>
      <c r="E348" s="21" t="s">
        <v>424</v>
      </c>
      <c r="F348" s="19">
        <v>1</v>
      </c>
      <c r="G348" s="22"/>
      <c r="H348" s="23"/>
      <c r="I348" s="24"/>
      <c r="J348" s="25" t="str">
        <f t="shared" si="15"/>
        <v/>
      </c>
      <c r="K348" s="26">
        <v>2</v>
      </c>
      <c r="L348" s="27">
        <v>36.770000000000003</v>
      </c>
      <c r="M348" s="28">
        <v>0</v>
      </c>
      <c r="N348" s="27">
        <f t="shared" si="16"/>
        <v>36.770000000000003</v>
      </c>
      <c r="O348" s="29">
        <f t="shared" si="17"/>
        <v>36.770000000000003</v>
      </c>
    </row>
    <row r="349" spans="1:15" x14ac:dyDescent="0.25">
      <c r="A349" s="30">
        <v>335</v>
      </c>
      <c r="B349" s="30">
        <v>601521</v>
      </c>
      <c r="C349" s="31">
        <v>7898581710615</v>
      </c>
      <c r="D349" s="32" t="s">
        <v>427</v>
      </c>
      <c r="E349" s="32" t="s">
        <v>424</v>
      </c>
      <c r="F349" s="30">
        <v>7</v>
      </c>
      <c r="G349" s="22"/>
      <c r="H349" s="23"/>
      <c r="I349" s="24"/>
      <c r="J349" s="33" t="str">
        <f t="shared" si="15"/>
        <v/>
      </c>
      <c r="K349" s="26">
        <v>0</v>
      </c>
      <c r="L349" s="27">
        <v>74.59</v>
      </c>
      <c r="M349" s="28">
        <v>0</v>
      </c>
      <c r="N349" s="27">
        <f t="shared" si="16"/>
        <v>74.59</v>
      </c>
      <c r="O349" s="29">
        <f t="shared" si="17"/>
        <v>522.13</v>
      </c>
    </row>
    <row r="350" spans="1:15" x14ac:dyDescent="0.25">
      <c r="A350" s="30">
        <v>336</v>
      </c>
      <c r="B350" s="30">
        <v>601521</v>
      </c>
      <c r="C350" s="31">
        <v>7896641817502</v>
      </c>
      <c r="D350" s="32" t="s">
        <v>427</v>
      </c>
      <c r="E350" s="32" t="s">
        <v>424</v>
      </c>
      <c r="F350" s="30">
        <v>7</v>
      </c>
      <c r="G350" s="22"/>
      <c r="H350" s="23"/>
      <c r="I350" s="24"/>
      <c r="J350" s="33" t="str">
        <f t="shared" si="15"/>
        <v/>
      </c>
      <c r="K350" s="34">
        <v>0</v>
      </c>
      <c r="L350" s="27">
        <v>0</v>
      </c>
      <c r="M350" s="28">
        <v>0</v>
      </c>
      <c r="N350" s="27">
        <f t="shared" si="16"/>
        <v>0</v>
      </c>
      <c r="O350" s="29">
        <f t="shared" si="17"/>
        <v>0</v>
      </c>
    </row>
    <row r="351" spans="1:15" x14ac:dyDescent="0.25">
      <c r="A351" s="19">
        <v>337</v>
      </c>
      <c r="B351" s="19">
        <v>33081</v>
      </c>
      <c r="C351" s="20">
        <v>7896658004148</v>
      </c>
      <c r="D351" s="21" t="s">
        <v>428</v>
      </c>
      <c r="E351" s="21" t="s">
        <v>42</v>
      </c>
      <c r="F351" s="19">
        <v>1</v>
      </c>
      <c r="G351" s="22"/>
      <c r="H351" s="23"/>
      <c r="I351" s="24"/>
      <c r="J351" s="25" t="str">
        <f t="shared" si="15"/>
        <v/>
      </c>
      <c r="K351" s="26">
        <v>25</v>
      </c>
      <c r="L351" s="27">
        <v>49.04</v>
      </c>
      <c r="M351" s="28">
        <v>0.02</v>
      </c>
      <c r="N351" s="27">
        <f t="shared" si="16"/>
        <v>48.059199999999997</v>
      </c>
      <c r="O351" s="29">
        <f t="shared" si="17"/>
        <v>48.059199999999997</v>
      </c>
    </row>
    <row r="352" spans="1:15" x14ac:dyDescent="0.25">
      <c r="A352" s="30">
        <v>338</v>
      </c>
      <c r="B352" s="30">
        <v>669611</v>
      </c>
      <c r="C352" s="31">
        <v>7891000417584</v>
      </c>
      <c r="D352" s="32" t="s">
        <v>429</v>
      </c>
      <c r="E352" s="32" t="s">
        <v>205</v>
      </c>
      <c r="F352" s="30">
        <v>1</v>
      </c>
      <c r="G352" s="22"/>
      <c r="H352" s="23"/>
      <c r="I352" s="24"/>
      <c r="J352" s="33" t="str">
        <f t="shared" si="15"/>
        <v/>
      </c>
      <c r="K352" s="26">
        <v>87</v>
      </c>
      <c r="L352" s="27">
        <v>27.87</v>
      </c>
      <c r="M352" s="28">
        <v>0</v>
      </c>
      <c r="N352" s="27">
        <f t="shared" si="16"/>
        <v>27.87</v>
      </c>
      <c r="O352" s="29">
        <f t="shared" si="17"/>
        <v>27.87</v>
      </c>
    </row>
    <row r="353" spans="1:15" x14ac:dyDescent="0.25">
      <c r="A353" s="19">
        <v>339</v>
      </c>
      <c r="B353" s="19">
        <v>237521</v>
      </c>
      <c r="C353" s="20">
        <v>7898948648179</v>
      </c>
      <c r="D353" s="21" t="s">
        <v>430</v>
      </c>
      <c r="E353" s="21" t="s">
        <v>431</v>
      </c>
      <c r="F353" s="19">
        <v>2</v>
      </c>
      <c r="G353" s="22"/>
      <c r="H353" s="23"/>
      <c r="I353" s="24"/>
      <c r="J353" s="25" t="str">
        <f t="shared" si="15"/>
        <v/>
      </c>
      <c r="K353" s="26">
        <v>727</v>
      </c>
      <c r="L353" s="27">
        <v>61.92</v>
      </c>
      <c r="M353" s="28">
        <v>0</v>
      </c>
      <c r="N353" s="27">
        <f t="shared" si="16"/>
        <v>61.92</v>
      </c>
      <c r="O353" s="29">
        <f t="shared" si="17"/>
        <v>123.84</v>
      </c>
    </row>
    <row r="354" spans="1:15" x14ac:dyDescent="0.25">
      <c r="A354" s="30">
        <v>340</v>
      </c>
      <c r="B354" s="30">
        <v>652341</v>
      </c>
      <c r="C354" s="31">
        <v>7897460401378</v>
      </c>
      <c r="D354" s="32" t="s">
        <v>432</v>
      </c>
      <c r="E354" s="32"/>
      <c r="F354" s="30">
        <v>1</v>
      </c>
      <c r="G354" s="22"/>
      <c r="H354" s="23"/>
      <c r="I354" s="24"/>
      <c r="J354" s="33" t="str">
        <f t="shared" si="15"/>
        <v/>
      </c>
      <c r="K354" s="26">
        <v>19</v>
      </c>
      <c r="L354" s="27">
        <v>81.7</v>
      </c>
      <c r="M354" s="28">
        <v>0.02</v>
      </c>
      <c r="N354" s="27">
        <f t="shared" si="16"/>
        <v>80.066000000000003</v>
      </c>
      <c r="O354" s="29">
        <f t="shared" si="17"/>
        <v>80.066000000000003</v>
      </c>
    </row>
    <row r="355" spans="1:15" x14ac:dyDescent="0.25">
      <c r="A355" s="19">
        <v>341</v>
      </c>
      <c r="B355" s="19">
        <v>644201</v>
      </c>
      <c r="C355" s="20">
        <v>7896004775364</v>
      </c>
      <c r="D355" s="21" t="s">
        <v>433</v>
      </c>
      <c r="E355" s="21" t="s">
        <v>194</v>
      </c>
      <c r="F355" s="19">
        <v>2</v>
      </c>
      <c r="G355" s="22"/>
      <c r="H355" s="23"/>
      <c r="I355" s="24"/>
      <c r="J355" s="25" t="str">
        <f t="shared" si="15"/>
        <v/>
      </c>
      <c r="K355" s="26">
        <v>238</v>
      </c>
      <c r="L355" s="27">
        <v>48.35</v>
      </c>
      <c r="M355" s="28">
        <v>0</v>
      </c>
      <c r="N355" s="27">
        <f t="shared" si="16"/>
        <v>48.35</v>
      </c>
      <c r="O355" s="29">
        <f t="shared" si="17"/>
        <v>96.7</v>
      </c>
    </row>
    <row r="356" spans="1:15" x14ac:dyDescent="0.25">
      <c r="A356" s="30">
        <v>342</v>
      </c>
      <c r="B356" s="30">
        <v>290201</v>
      </c>
      <c r="C356" s="31">
        <v>7894916510431</v>
      </c>
      <c r="D356" s="32" t="s">
        <v>434</v>
      </c>
      <c r="E356" s="32" t="s">
        <v>194</v>
      </c>
      <c r="F356" s="30">
        <v>1</v>
      </c>
      <c r="G356" s="22"/>
      <c r="H356" s="23"/>
      <c r="I356" s="24"/>
      <c r="J356" s="33" t="str">
        <f t="shared" si="15"/>
        <v/>
      </c>
      <c r="K356" s="26">
        <v>74</v>
      </c>
      <c r="L356" s="27">
        <v>48.91</v>
      </c>
      <c r="M356" s="28">
        <v>0</v>
      </c>
      <c r="N356" s="27">
        <f t="shared" si="16"/>
        <v>48.91</v>
      </c>
      <c r="O356" s="29">
        <f t="shared" si="17"/>
        <v>48.91</v>
      </c>
    </row>
    <row r="357" spans="1:15" x14ac:dyDescent="0.25">
      <c r="A357" s="19">
        <v>343</v>
      </c>
      <c r="B357" s="19">
        <v>468981</v>
      </c>
      <c r="C357" s="20">
        <v>7895858015824</v>
      </c>
      <c r="D357" s="21" t="s">
        <v>435</v>
      </c>
      <c r="E357" s="21" t="s">
        <v>345</v>
      </c>
      <c r="F357" s="19">
        <v>3</v>
      </c>
      <c r="G357" s="22"/>
      <c r="H357" s="23"/>
      <c r="I357" s="24"/>
      <c r="J357" s="25" t="str">
        <f t="shared" si="15"/>
        <v/>
      </c>
      <c r="K357" s="26">
        <v>407</v>
      </c>
      <c r="L357" s="27">
        <v>20.29</v>
      </c>
      <c r="M357" s="28">
        <v>0</v>
      </c>
      <c r="N357" s="27">
        <f t="shared" si="16"/>
        <v>20.29</v>
      </c>
      <c r="O357" s="29">
        <f t="shared" si="17"/>
        <v>60.87</v>
      </c>
    </row>
    <row r="358" spans="1:15" x14ac:dyDescent="0.25">
      <c r="A358" s="30">
        <v>344</v>
      </c>
      <c r="B358" s="30">
        <v>550681</v>
      </c>
      <c r="C358" s="31">
        <v>7897316806371</v>
      </c>
      <c r="D358" s="32" t="s">
        <v>436</v>
      </c>
      <c r="E358" s="32" t="s">
        <v>437</v>
      </c>
      <c r="F358" s="30">
        <v>2</v>
      </c>
      <c r="G358" s="22"/>
      <c r="H358" s="23"/>
      <c r="I358" s="24"/>
      <c r="J358" s="33" t="str">
        <f t="shared" si="15"/>
        <v/>
      </c>
      <c r="K358" s="26">
        <v>1253</v>
      </c>
      <c r="L358" s="27">
        <v>56.2</v>
      </c>
      <c r="M358" s="28">
        <v>0</v>
      </c>
      <c r="N358" s="27">
        <f t="shared" si="16"/>
        <v>56.2</v>
      </c>
      <c r="O358" s="29">
        <f t="shared" si="17"/>
        <v>112.4</v>
      </c>
    </row>
    <row r="359" spans="1:15" x14ac:dyDescent="0.25">
      <c r="A359" s="19">
        <v>345</v>
      </c>
      <c r="B359" s="19">
        <v>179961</v>
      </c>
      <c r="C359" s="20">
        <v>7898040321390</v>
      </c>
      <c r="D359" s="21" t="s">
        <v>438</v>
      </c>
      <c r="E359" s="21" t="s">
        <v>26</v>
      </c>
      <c r="F359" s="19">
        <v>1</v>
      </c>
      <c r="G359" s="22"/>
      <c r="H359" s="23"/>
      <c r="I359" s="24"/>
      <c r="J359" s="25" t="str">
        <f t="shared" si="15"/>
        <v/>
      </c>
      <c r="K359" s="26">
        <v>792</v>
      </c>
      <c r="L359" s="27">
        <v>28.22</v>
      </c>
      <c r="M359" s="28">
        <v>0.03</v>
      </c>
      <c r="N359" s="27">
        <f t="shared" si="16"/>
        <v>27.3734</v>
      </c>
      <c r="O359" s="29">
        <f t="shared" si="17"/>
        <v>27.3734</v>
      </c>
    </row>
    <row r="360" spans="1:15" x14ac:dyDescent="0.25">
      <c r="A360" s="30">
        <v>346</v>
      </c>
      <c r="B360" s="30">
        <v>321581</v>
      </c>
      <c r="C360" s="31">
        <v>7896637022439</v>
      </c>
      <c r="D360" s="32" t="s">
        <v>439</v>
      </c>
      <c r="E360" s="32" t="s">
        <v>86</v>
      </c>
      <c r="F360" s="30">
        <v>7</v>
      </c>
      <c r="G360" s="22"/>
      <c r="H360" s="23"/>
      <c r="I360" s="24"/>
      <c r="J360" s="33" t="str">
        <f t="shared" si="15"/>
        <v/>
      </c>
      <c r="K360" s="26">
        <v>2734</v>
      </c>
      <c r="L360" s="27">
        <v>21.1</v>
      </c>
      <c r="M360" s="28">
        <v>1.4999999999999999E-2</v>
      </c>
      <c r="N360" s="27">
        <f t="shared" si="16"/>
        <v>20.7835</v>
      </c>
      <c r="O360" s="29">
        <f t="shared" si="17"/>
        <v>145.4845</v>
      </c>
    </row>
    <row r="361" spans="1:15" x14ac:dyDescent="0.25">
      <c r="A361" s="19">
        <v>347</v>
      </c>
      <c r="B361" s="19">
        <v>137841</v>
      </c>
      <c r="C361" s="20">
        <v>7898040324223</v>
      </c>
      <c r="D361" s="21" t="s">
        <v>440</v>
      </c>
      <c r="E361" s="21" t="s">
        <v>26</v>
      </c>
      <c r="F361" s="19">
        <v>1</v>
      </c>
      <c r="G361" s="22"/>
      <c r="H361" s="23"/>
      <c r="I361" s="24"/>
      <c r="J361" s="25" t="str">
        <f t="shared" si="15"/>
        <v/>
      </c>
      <c r="K361" s="26">
        <v>1858</v>
      </c>
      <c r="L361" s="27">
        <v>39.159999999999997</v>
      </c>
      <c r="M361" s="28">
        <v>0.03</v>
      </c>
      <c r="N361" s="27">
        <f t="shared" si="16"/>
        <v>37.985199999999999</v>
      </c>
      <c r="O361" s="29">
        <f t="shared" si="17"/>
        <v>37.985199999999999</v>
      </c>
    </row>
    <row r="362" spans="1:15" x14ac:dyDescent="0.25">
      <c r="A362" s="30">
        <v>348</v>
      </c>
      <c r="B362" s="30">
        <v>452561</v>
      </c>
      <c r="C362" s="31">
        <v>7898040320942</v>
      </c>
      <c r="D362" s="32" t="s">
        <v>441</v>
      </c>
      <c r="E362" s="32" t="s">
        <v>26</v>
      </c>
      <c r="F362" s="30">
        <v>2</v>
      </c>
      <c r="G362" s="22"/>
      <c r="H362" s="23"/>
      <c r="I362" s="24"/>
      <c r="J362" s="33" t="str">
        <f t="shared" si="15"/>
        <v/>
      </c>
      <c r="K362" s="26">
        <v>559</v>
      </c>
      <c r="L362" s="27">
        <v>13.63</v>
      </c>
      <c r="M362" s="28">
        <v>0.03</v>
      </c>
      <c r="N362" s="27">
        <f t="shared" si="16"/>
        <v>13.221100000000002</v>
      </c>
      <c r="O362" s="29">
        <f t="shared" si="17"/>
        <v>26.442200000000003</v>
      </c>
    </row>
    <row r="363" spans="1:15" x14ac:dyDescent="0.25">
      <c r="A363" s="19">
        <v>349</v>
      </c>
      <c r="B363" s="19">
        <v>653701</v>
      </c>
      <c r="C363" s="20">
        <v>7898639690999</v>
      </c>
      <c r="D363" s="21" t="s">
        <v>442</v>
      </c>
      <c r="E363" s="21" t="s">
        <v>68</v>
      </c>
      <c r="F363" s="19">
        <v>2</v>
      </c>
      <c r="G363" s="22"/>
      <c r="H363" s="23"/>
      <c r="I363" s="24"/>
      <c r="J363" s="25" t="str">
        <f t="shared" si="15"/>
        <v/>
      </c>
      <c r="K363" s="34">
        <v>0</v>
      </c>
      <c r="L363" s="27">
        <v>0</v>
      </c>
      <c r="M363" s="28">
        <v>0</v>
      </c>
      <c r="N363" s="27">
        <f t="shared" si="16"/>
        <v>0</v>
      </c>
      <c r="O363" s="29">
        <f t="shared" si="17"/>
        <v>0</v>
      </c>
    </row>
    <row r="364" spans="1:15" x14ac:dyDescent="0.25">
      <c r="A364" s="30">
        <v>350</v>
      </c>
      <c r="B364" s="30">
        <v>398941</v>
      </c>
      <c r="C364" s="31">
        <v>7891317000035</v>
      </c>
      <c r="D364" s="32" t="s">
        <v>443</v>
      </c>
      <c r="E364" s="32" t="s">
        <v>40</v>
      </c>
      <c r="F364" s="30">
        <v>3</v>
      </c>
      <c r="G364" s="22"/>
      <c r="H364" s="23"/>
      <c r="I364" s="24"/>
      <c r="J364" s="33" t="str">
        <f t="shared" si="15"/>
        <v/>
      </c>
      <c r="K364" s="26">
        <v>166</v>
      </c>
      <c r="L364" s="27">
        <v>26.54</v>
      </c>
      <c r="M364" s="28">
        <v>0.02</v>
      </c>
      <c r="N364" s="27">
        <f t="shared" si="16"/>
        <v>26.0092</v>
      </c>
      <c r="O364" s="29">
        <f t="shared" si="17"/>
        <v>78.027600000000007</v>
      </c>
    </row>
    <row r="365" spans="1:15" x14ac:dyDescent="0.25">
      <c r="A365" s="19">
        <v>351</v>
      </c>
      <c r="B365" s="19">
        <v>398921</v>
      </c>
      <c r="C365" s="20">
        <v>7891317000042</v>
      </c>
      <c r="D365" s="21" t="s">
        <v>444</v>
      </c>
      <c r="E365" s="21" t="s">
        <v>40</v>
      </c>
      <c r="F365" s="19">
        <v>5</v>
      </c>
      <c r="G365" s="22"/>
      <c r="H365" s="23"/>
      <c r="I365" s="24"/>
      <c r="J365" s="25" t="str">
        <f t="shared" si="15"/>
        <v/>
      </c>
      <c r="K365" s="26">
        <v>170</v>
      </c>
      <c r="L365" s="27">
        <v>48.22</v>
      </c>
      <c r="M365" s="28">
        <v>0.02</v>
      </c>
      <c r="N365" s="27">
        <f t="shared" si="16"/>
        <v>47.255600000000001</v>
      </c>
      <c r="O365" s="29">
        <f t="shared" si="17"/>
        <v>236.27800000000002</v>
      </c>
    </row>
    <row r="366" spans="1:15" x14ac:dyDescent="0.25">
      <c r="A366" s="30">
        <v>352</v>
      </c>
      <c r="B366" s="30">
        <v>565041</v>
      </c>
      <c r="C366" s="31">
        <v>78900813</v>
      </c>
      <c r="D366" s="32" t="s">
        <v>445</v>
      </c>
      <c r="E366" s="32" t="s">
        <v>446</v>
      </c>
      <c r="F366" s="30">
        <v>1</v>
      </c>
      <c r="G366" s="22"/>
      <c r="H366" s="23"/>
      <c r="I366" s="24"/>
      <c r="J366" s="33" t="str">
        <f t="shared" si="15"/>
        <v/>
      </c>
      <c r="K366" s="34">
        <v>0</v>
      </c>
      <c r="L366" s="27">
        <v>0</v>
      </c>
      <c r="M366" s="28">
        <v>0</v>
      </c>
      <c r="N366" s="27">
        <f t="shared" si="16"/>
        <v>0</v>
      </c>
      <c r="O366" s="29">
        <f t="shared" si="17"/>
        <v>0</v>
      </c>
    </row>
    <row r="367" spans="1:15" x14ac:dyDescent="0.25">
      <c r="A367" s="19">
        <v>353</v>
      </c>
      <c r="B367" s="19">
        <v>163881</v>
      </c>
      <c r="C367" s="20">
        <v>7896548140581</v>
      </c>
      <c r="D367" s="21" t="s">
        <v>447</v>
      </c>
      <c r="E367" s="21" t="s">
        <v>72</v>
      </c>
      <c r="F367" s="19">
        <v>2</v>
      </c>
      <c r="G367" s="22"/>
      <c r="H367" s="23"/>
      <c r="I367" s="24"/>
      <c r="J367" s="25" t="str">
        <f t="shared" si="15"/>
        <v/>
      </c>
      <c r="K367" s="26">
        <v>550</v>
      </c>
      <c r="L367" s="27">
        <v>61.93</v>
      </c>
      <c r="M367" s="28">
        <v>0.02</v>
      </c>
      <c r="N367" s="27">
        <f t="shared" si="16"/>
        <v>60.691400000000002</v>
      </c>
      <c r="O367" s="29">
        <f t="shared" si="17"/>
        <v>121.3828</v>
      </c>
    </row>
    <row r="368" spans="1:15" x14ac:dyDescent="0.25">
      <c r="A368" s="30">
        <v>354</v>
      </c>
      <c r="B368" s="30">
        <v>652011</v>
      </c>
      <c r="C368" s="31">
        <v>7891158106460</v>
      </c>
      <c r="D368" s="32" t="s">
        <v>448</v>
      </c>
      <c r="E368" s="32"/>
      <c r="F368" s="30">
        <v>2</v>
      </c>
      <c r="G368" s="22"/>
      <c r="H368" s="23"/>
      <c r="I368" s="24"/>
      <c r="J368" s="33" t="str">
        <f t="shared" si="15"/>
        <v/>
      </c>
      <c r="K368" s="34">
        <v>0</v>
      </c>
      <c r="L368" s="27">
        <v>0</v>
      </c>
      <c r="M368" s="28">
        <v>0</v>
      </c>
      <c r="N368" s="27">
        <f t="shared" si="16"/>
        <v>0</v>
      </c>
      <c r="O368" s="29">
        <f t="shared" si="17"/>
        <v>0</v>
      </c>
    </row>
    <row r="369" spans="1:15" x14ac:dyDescent="0.25">
      <c r="A369" s="19">
        <v>355</v>
      </c>
      <c r="B369" s="19">
        <v>626361</v>
      </c>
      <c r="C369" s="20">
        <v>7891158106477</v>
      </c>
      <c r="D369" s="21" t="s">
        <v>449</v>
      </c>
      <c r="E369" s="21" t="s">
        <v>180</v>
      </c>
      <c r="F369" s="19">
        <v>3</v>
      </c>
      <c r="G369" s="22"/>
      <c r="H369" s="23"/>
      <c r="I369" s="24"/>
      <c r="J369" s="25" t="str">
        <f t="shared" si="15"/>
        <v/>
      </c>
      <c r="K369" s="26">
        <v>1114</v>
      </c>
      <c r="L369" s="27">
        <v>22.62</v>
      </c>
      <c r="M369" s="28">
        <v>0</v>
      </c>
      <c r="N369" s="27">
        <f t="shared" si="16"/>
        <v>22.62</v>
      </c>
      <c r="O369" s="29">
        <f t="shared" si="17"/>
        <v>67.86</v>
      </c>
    </row>
    <row r="370" spans="1:15" x14ac:dyDescent="0.25">
      <c r="A370" s="30">
        <v>356</v>
      </c>
      <c r="B370" s="30">
        <v>626351</v>
      </c>
      <c r="C370" s="31">
        <v>7891158106453</v>
      </c>
      <c r="D370" s="32" t="s">
        <v>450</v>
      </c>
      <c r="E370" s="32" t="s">
        <v>180</v>
      </c>
      <c r="F370" s="30">
        <v>9</v>
      </c>
      <c r="G370" s="22"/>
      <c r="H370" s="23"/>
      <c r="I370" s="24"/>
      <c r="J370" s="33" t="str">
        <f t="shared" si="15"/>
        <v/>
      </c>
      <c r="K370" s="26">
        <v>1539</v>
      </c>
      <c r="L370" s="27">
        <v>22.62</v>
      </c>
      <c r="M370" s="28">
        <v>0</v>
      </c>
      <c r="N370" s="27">
        <f t="shared" si="16"/>
        <v>22.62</v>
      </c>
      <c r="O370" s="29">
        <f t="shared" si="17"/>
        <v>203.58</v>
      </c>
    </row>
    <row r="371" spans="1:15" x14ac:dyDescent="0.25">
      <c r="A371" s="19">
        <v>357</v>
      </c>
      <c r="B371" s="19">
        <v>626341</v>
      </c>
      <c r="C371" s="20">
        <v>7891158106446</v>
      </c>
      <c r="D371" s="21" t="s">
        <v>451</v>
      </c>
      <c r="E371" s="21" t="s">
        <v>180</v>
      </c>
      <c r="F371" s="19">
        <v>2</v>
      </c>
      <c r="G371" s="22"/>
      <c r="H371" s="23"/>
      <c r="I371" s="24"/>
      <c r="J371" s="25" t="str">
        <f t="shared" si="15"/>
        <v/>
      </c>
      <c r="K371" s="26">
        <v>3408</v>
      </c>
      <c r="L371" s="27">
        <v>22.62</v>
      </c>
      <c r="M371" s="28">
        <v>0</v>
      </c>
      <c r="N371" s="27">
        <f t="shared" si="16"/>
        <v>22.62</v>
      </c>
      <c r="O371" s="29">
        <f t="shared" si="17"/>
        <v>45.24</v>
      </c>
    </row>
    <row r="372" spans="1:15" x14ac:dyDescent="0.25">
      <c r="A372" s="30">
        <v>358</v>
      </c>
      <c r="B372" s="30">
        <v>17603</v>
      </c>
      <c r="C372" s="31">
        <v>7896026172356</v>
      </c>
      <c r="D372" s="32" t="s">
        <v>452</v>
      </c>
      <c r="E372" s="32"/>
      <c r="F372" s="30">
        <v>1</v>
      </c>
      <c r="G372" s="22"/>
      <c r="H372" s="23"/>
      <c r="I372" s="24"/>
      <c r="J372" s="33" t="str">
        <f t="shared" si="15"/>
        <v/>
      </c>
      <c r="K372" s="26">
        <v>0</v>
      </c>
      <c r="L372" s="27">
        <v>31.57</v>
      </c>
      <c r="M372" s="28">
        <v>0.03</v>
      </c>
      <c r="N372" s="27">
        <f t="shared" si="16"/>
        <v>30.622900000000001</v>
      </c>
      <c r="O372" s="29">
        <f t="shared" si="17"/>
        <v>30.622900000000001</v>
      </c>
    </row>
    <row r="373" spans="1:15" x14ac:dyDescent="0.25">
      <c r="A373" s="19">
        <v>359</v>
      </c>
      <c r="B373" s="19">
        <v>594751</v>
      </c>
      <c r="C373" s="20">
        <v>7891024179925</v>
      </c>
      <c r="D373" s="21" t="s">
        <v>453</v>
      </c>
      <c r="E373" s="21" t="s">
        <v>245</v>
      </c>
      <c r="F373" s="19">
        <v>8</v>
      </c>
      <c r="G373" s="22"/>
      <c r="H373" s="23"/>
      <c r="I373" s="24"/>
      <c r="J373" s="25" t="str">
        <f t="shared" si="15"/>
        <v/>
      </c>
      <c r="K373" s="26">
        <v>3405</v>
      </c>
      <c r="L373" s="27">
        <v>26.4</v>
      </c>
      <c r="M373" s="28">
        <v>0</v>
      </c>
      <c r="N373" s="27">
        <f t="shared" si="16"/>
        <v>26.4</v>
      </c>
      <c r="O373" s="29">
        <f t="shared" si="17"/>
        <v>211.2</v>
      </c>
    </row>
    <row r="374" spans="1:15" x14ac:dyDescent="0.25">
      <c r="A374" s="30">
        <v>360</v>
      </c>
      <c r="B374" s="30">
        <v>578161</v>
      </c>
      <c r="C374" s="31">
        <v>7891317015343</v>
      </c>
      <c r="D374" s="32" t="s">
        <v>454</v>
      </c>
      <c r="E374" s="32" t="s">
        <v>56</v>
      </c>
      <c r="F374" s="30">
        <v>1</v>
      </c>
      <c r="G374" s="22"/>
      <c r="H374" s="23"/>
      <c r="I374" s="24"/>
      <c r="J374" s="33" t="str">
        <f t="shared" si="15"/>
        <v/>
      </c>
      <c r="K374" s="26">
        <v>376</v>
      </c>
      <c r="L374" s="27">
        <v>24.37</v>
      </c>
      <c r="M374" s="28">
        <v>0.02</v>
      </c>
      <c r="N374" s="27">
        <f t="shared" si="16"/>
        <v>23.8826</v>
      </c>
      <c r="O374" s="29">
        <f t="shared" si="17"/>
        <v>23.8826</v>
      </c>
    </row>
    <row r="375" spans="1:15" x14ac:dyDescent="0.25">
      <c r="A375" s="19">
        <v>361</v>
      </c>
      <c r="B375" s="19">
        <v>217941</v>
      </c>
      <c r="C375" s="20">
        <v>7891317140533</v>
      </c>
      <c r="D375" s="21" t="s">
        <v>455</v>
      </c>
      <c r="E375" s="21" t="s">
        <v>40</v>
      </c>
      <c r="F375" s="19">
        <v>1</v>
      </c>
      <c r="G375" s="22"/>
      <c r="H375" s="23"/>
      <c r="I375" s="24"/>
      <c r="J375" s="25" t="str">
        <f t="shared" si="15"/>
        <v/>
      </c>
      <c r="K375" s="26">
        <v>106</v>
      </c>
      <c r="L375" s="27">
        <v>53.41</v>
      </c>
      <c r="M375" s="28">
        <v>0.02</v>
      </c>
      <c r="N375" s="27">
        <f t="shared" si="16"/>
        <v>52.341799999999999</v>
      </c>
      <c r="O375" s="29">
        <f t="shared" si="17"/>
        <v>52.341799999999999</v>
      </c>
    </row>
    <row r="376" spans="1:15" x14ac:dyDescent="0.25">
      <c r="A376" s="30">
        <v>362</v>
      </c>
      <c r="B376" s="30">
        <v>159781</v>
      </c>
      <c r="C376" s="31">
        <v>7891058059149</v>
      </c>
      <c r="D376" s="32" t="s">
        <v>456</v>
      </c>
      <c r="E376" s="32" t="s">
        <v>457</v>
      </c>
      <c r="F376" s="30">
        <v>8</v>
      </c>
      <c r="G376" s="22"/>
      <c r="H376" s="23"/>
      <c r="I376" s="24"/>
      <c r="J376" s="33" t="str">
        <f t="shared" si="15"/>
        <v/>
      </c>
      <c r="K376" s="26">
        <v>0</v>
      </c>
      <c r="L376" s="27">
        <v>11.32</v>
      </c>
      <c r="M376" s="28">
        <v>0</v>
      </c>
      <c r="N376" s="27">
        <f t="shared" si="16"/>
        <v>11.32</v>
      </c>
      <c r="O376" s="29">
        <f t="shared" si="17"/>
        <v>90.56</v>
      </c>
    </row>
    <row r="377" spans="1:15" x14ac:dyDescent="0.25">
      <c r="A377" s="19">
        <v>363</v>
      </c>
      <c r="B377" s="19">
        <v>115101</v>
      </c>
      <c r="C377" s="20">
        <v>78905108</v>
      </c>
      <c r="D377" s="21" t="s">
        <v>458</v>
      </c>
      <c r="E377" s="21" t="s">
        <v>459</v>
      </c>
      <c r="F377" s="19">
        <v>4</v>
      </c>
      <c r="G377" s="22"/>
      <c r="H377" s="23"/>
      <c r="I377" s="24"/>
      <c r="J377" s="25" t="str">
        <f t="shared" si="15"/>
        <v/>
      </c>
      <c r="K377" s="26">
        <v>5399</v>
      </c>
      <c r="L377" s="27">
        <v>17.48</v>
      </c>
      <c r="M377" s="28">
        <v>0</v>
      </c>
      <c r="N377" s="27">
        <f t="shared" si="16"/>
        <v>17.48</v>
      </c>
      <c r="O377" s="29">
        <f t="shared" si="17"/>
        <v>69.92</v>
      </c>
    </row>
    <row r="378" spans="1:15" x14ac:dyDescent="0.25">
      <c r="A378" s="30">
        <v>364</v>
      </c>
      <c r="B378" s="30">
        <v>284281</v>
      </c>
      <c r="C378" s="31">
        <v>7896637025362</v>
      </c>
      <c r="D378" s="32" t="s">
        <v>460</v>
      </c>
      <c r="E378" s="32" t="s">
        <v>86</v>
      </c>
      <c r="F378" s="30">
        <v>1</v>
      </c>
      <c r="G378" s="22"/>
      <c r="H378" s="23"/>
      <c r="I378" s="24"/>
      <c r="J378" s="33" t="str">
        <f t="shared" si="15"/>
        <v/>
      </c>
      <c r="K378" s="26">
        <v>1044</v>
      </c>
      <c r="L378" s="27">
        <v>115.04</v>
      </c>
      <c r="M378" s="28">
        <v>1.4999999999999999E-2</v>
      </c>
      <c r="N378" s="27">
        <f t="shared" si="16"/>
        <v>113.31440000000001</v>
      </c>
      <c r="O378" s="29">
        <f t="shared" si="17"/>
        <v>113.31440000000001</v>
      </c>
    </row>
    <row r="379" spans="1:15" x14ac:dyDescent="0.25">
      <c r="A379" s="19">
        <v>365</v>
      </c>
      <c r="B379" s="19">
        <v>255821</v>
      </c>
      <c r="C379" s="20">
        <v>7891317004163</v>
      </c>
      <c r="D379" s="21" t="s">
        <v>461</v>
      </c>
      <c r="E379" s="21" t="s">
        <v>40</v>
      </c>
      <c r="F379" s="19">
        <v>1</v>
      </c>
      <c r="G379" s="22"/>
      <c r="H379" s="23"/>
      <c r="I379" s="24"/>
      <c r="J379" s="25" t="str">
        <f t="shared" si="15"/>
        <v/>
      </c>
      <c r="K379" s="34">
        <v>0</v>
      </c>
      <c r="L379" s="27">
        <v>0</v>
      </c>
      <c r="M379" s="28">
        <v>0</v>
      </c>
      <c r="N379" s="27">
        <f t="shared" si="16"/>
        <v>0</v>
      </c>
      <c r="O379" s="29">
        <f t="shared" si="17"/>
        <v>0</v>
      </c>
    </row>
    <row r="380" spans="1:15" x14ac:dyDescent="0.25">
      <c r="A380" s="30">
        <v>366</v>
      </c>
      <c r="B380" s="30">
        <v>408261</v>
      </c>
      <c r="C380" s="31">
        <v>7891317004095</v>
      </c>
      <c r="D380" s="32" t="s">
        <v>462</v>
      </c>
      <c r="E380" s="32" t="s">
        <v>40</v>
      </c>
      <c r="F380" s="30">
        <v>1</v>
      </c>
      <c r="G380" s="22"/>
      <c r="H380" s="23"/>
      <c r="I380" s="24"/>
      <c r="J380" s="33" t="str">
        <f t="shared" si="15"/>
        <v/>
      </c>
      <c r="K380" s="34">
        <v>0</v>
      </c>
      <c r="L380" s="27">
        <v>0</v>
      </c>
      <c r="M380" s="28">
        <v>0</v>
      </c>
      <c r="N380" s="27">
        <f t="shared" si="16"/>
        <v>0</v>
      </c>
      <c r="O380" s="29">
        <f t="shared" si="17"/>
        <v>0</v>
      </c>
    </row>
    <row r="381" spans="1:15" x14ac:dyDescent="0.25">
      <c r="A381" s="19">
        <v>367</v>
      </c>
      <c r="B381" s="19">
        <v>613011</v>
      </c>
      <c r="C381" s="20">
        <v>7891317476410</v>
      </c>
      <c r="D381" s="21" t="s">
        <v>463</v>
      </c>
      <c r="E381" s="21" t="s">
        <v>40</v>
      </c>
      <c r="F381" s="19">
        <v>1</v>
      </c>
      <c r="G381" s="22"/>
      <c r="H381" s="23"/>
      <c r="I381" s="24"/>
      <c r="J381" s="25" t="str">
        <f t="shared" si="15"/>
        <v/>
      </c>
      <c r="K381" s="34">
        <v>0</v>
      </c>
      <c r="L381" s="27">
        <v>0</v>
      </c>
      <c r="M381" s="28">
        <v>0</v>
      </c>
      <c r="N381" s="27">
        <f t="shared" si="16"/>
        <v>0</v>
      </c>
      <c r="O381" s="29">
        <f t="shared" si="17"/>
        <v>0</v>
      </c>
    </row>
    <row r="382" spans="1:15" x14ac:dyDescent="0.25">
      <c r="A382" s="30">
        <v>368</v>
      </c>
      <c r="B382" s="30">
        <v>256001</v>
      </c>
      <c r="C382" s="31">
        <v>7891317004217</v>
      </c>
      <c r="D382" s="32" t="s">
        <v>464</v>
      </c>
      <c r="E382" s="32" t="s">
        <v>40</v>
      </c>
      <c r="F382" s="30">
        <v>1</v>
      </c>
      <c r="G382" s="22"/>
      <c r="H382" s="23"/>
      <c r="I382" s="24"/>
      <c r="J382" s="33" t="str">
        <f t="shared" si="15"/>
        <v/>
      </c>
      <c r="K382" s="34">
        <v>0</v>
      </c>
      <c r="L382" s="27">
        <v>0</v>
      </c>
      <c r="M382" s="28">
        <v>0</v>
      </c>
      <c r="N382" s="27">
        <f t="shared" si="16"/>
        <v>0</v>
      </c>
      <c r="O382" s="29">
        <f t="shared" si="17"/>
        <v>0</v>
      </c>
    </row>
    <row r="383" spans="1:15" x14ac:dyDescent="0.25">
      <c r="A383" s="19">
        <v>369</v>
      </c>
      <c r="B383" s="19">
        <v>205761</v>
      </c>
      <c r="C383" s="20">
        <v>7891317177652</v>
      </c>
      <c r="D383" s="21" t="s">
        <v>465</v>
      </c>
      <c r="E383" s="21" t="s">
        <v>40</v>
      </c>
      <c r="F383" s="19">
        <v>1</v>
      </c>
      <c r="G383" s="22"/>
      <c r="H383" s="23"/>
      <c r="I383" s="24"/>
      <c r="J383" s="25" t="str">
        <f t="shared" si="15"/>
        <v/>
      </c>
      <c r="K383" s="26">
        <v>98</v>
      </c>
      <c r="L383" s="27">
        <v>71.88</v>
      </c>
      <c r="M383" s="28">
        <v>0.02</v>
      </c>
      <c r="N383" s="27">
        <f t="shared" si="16"/>
        <v>70.442399999999992</v>
      </c>
      <c r="O383" s="29">
        <f t="shared" si="17"/>
        <v>70.442399999999992</v>
      </c>
    </row>
    <row r="384" spans="1:15" x14ac:dyDescent="0.25">
      <c r="A384" s="30">
        <v>370</v>
      </c>
      <c r="B384" s="30">
        <v>563381</v>
      </c>
      <c r="C384" s="31">
        <v>7891106914048</v>
      </c>
      <c r="D384" s="32" t="s">
        <v>466</v>
      </c>
      <c r="E384" s="32" t="s">
        <v>80</v>
      </c>
      <c r="F384" s="30">
        <v>1</v>
      </c>
      <c r="G384" s="22"/>
      <c r="H384" s="23"/>
      <c r="I384" s="24"/>
      <c r="J384" s="33" t="str">
        <f t="shared" si="15"/>
        <v/>
      </c>
      <c r="K384" s="34">
        <v>0</v>
      </c>
      <c r="L384" s="27">
        <v>0</v>
      </c>
      <c r="M384" s="28">
        <v>0</v>
      </c>
      <c r="N384" s="27">
        <f t="shared" si="16"/>
        <v>0</v>
      </c>
      <c r="O384" s="29">
        <f t="shared" si="17"/>
        <v>0</v>
      </c>
    </row>
    <row r="385" spans="1:15" x14ac:dyDescent="0.25">
      <c r="A385" s="19">
        <v>371</v>
      </c>
      <c r="B385" s="19">
        <v>644221</v>
      </c>
      <c r="C385" s="20">
        <v>7898636193622</v>
      </c>
      <c r="D385" s="21" t="s">
        <v>467</v>
      </c>
      <c r="E385" s="21" t="s">
        <v>78</v>
      </c>
      <c r="F385" s="19">
        <v>4</v>
      </c>
      <c r="G385" s="22"/>
      <c r="H385" s="23"/>
      <c r="I385" s="24"/>
      <c r="J385" s="25" t="str">
        <f t="shared" si="15"/>
        <v/>
      </c>
      <c r="K385" s="26">
        <v>947</v>
      </c>
      <c r="L385" s="27">
        <v>47.87</v>
      </c>
      <c r="M385" s="28">
        <v>0</v>
      </c>
      <c r="N385" s="27">
        <f t="shared" si="16"/>
        <v>47.87</v>
      </c>
      <c r="O385" s="29">
        <f t="shared" si="17"/>
        <v>191.48</v>
      </c>
    </row>
    <row r="386" spans="1:15" x14ac:dyDescent="0.25">
      <c r="A386" s="30">
        <v>372</v>
      </c>
      <c r="B386" s="30">
        <v>543021</v>
      </c>
      <c r="C386" s="31">
        <v>7898949409465</v>
      </c>
      <c r="D386" s="32" t="s">
        <v>468</v>
      </c>
      <c r="E386" s="32" t="s">
        <v>78</v>
      </c>
      <c r="F386" s="30">
        <v>8</v>
      </c>
      <c r="G386" s="22"/>
      <c r="H386" s="23"/>
      <c r="I386" s="24"/>
      <c r="J386" s="33" t="str">
        <f t="shared" si="15"/>
        <v/>
      </c>
      <c r="K386" s="26">
        <v>4344</v>
      </c>
      <c r="L386" s="27">
        <v>47.87</v>
      </c>
      <c r="M386" s="28">
        <v>0</v>
      </c>
      <c r="N386" s="27">
        <f t="shared" si="16"/>
        <v>47.87</v>
      </c>
      <c r="O386" s="29">
        <f t="shared" si="17"/>
        <v>382.96</v>
      </c>
    </row>
    <row r="387" spans="1:15" x14ac:dyDescent="0.25">
      <c r="A387" s="19">
        <v>373</v>
      </c>
      <c r="B387" s="19">
        <v>405861</v>
      </c>
      <c r="C387" s="20">
        <v>7896641801792</v>
      </c>
      <c r="D387" s="21" t="s">
        <v>469</v>
      </c>
      <c r="E387" s="21" t="s">
        <v>224</v>
      </c>
      <c r="F387" s="19">
        <v>2</v>
      </c>
      <c r="G387" s="22"/>
      <c r="H387" s="23"/>
      <c r="I387" s="24"/>
      <c r="J387" s="25" t="str">
        <f t="shared" si="15"/>
        <v/>
      </c>
      <c r="K387" s="26">
        <v>635</v>
      </c>
      <c r="L387" s="27">
        <v>83.4</v>
      </c>
      <c r="M387" s="28">
        <v>0</v>
      </c>
      <c r="N387" s="27">
        <f t="shared" si="16"/>
        <v>83.4</v>
      </c>
      <c r="O387" s="29">
        <f t="shared" si="17"/>
        <v>166.8</v>
      </c>
    </row>
    <row r="388" spans="1:15" x14ac:dyDescent="0.25">
      <c r="A388" s="30">
        <v>374</v>
      </c>
      <c r="B388" s="30">
        <v>3441</v>
      </c>
      <c r="C388" s="31">
        <v>7891317411923</v>
      </c>
      <c r="D388" s="32" t="s">
        <v>470</v>
      </c>
      <c r="E388" s="32" t="s">
        <v>40</v>
      </c>
      <c r="F388" s="30">
        <v>1</v>
      </c>
      <c r="G388" s="22"/>
      <c r="H388" s="23"/>
      <c r="I388" s="24"/>
      <c r="J388" s="33" t="str">
        <f t="shared" si="15"/>
        <v/>
      </c>
      <c r="K388" s="26">
        <v>167</v>
      </c>
      <c r="L388" s="27">
        <v>62.52</v>
      </c>
      <c r="M388" s="28">
        <v>0.02</v>
      </c>
      <c r="N388" s="27">
        <f t="shared" si="16"/>
        <v>61.269600000000004</v>
      </c>
      <c r="O388" s="29">
        <f t="shared" si="17"/>
        <v>61.269600000000004</v>
      </c>
    </row>
    <row r="389" spans="1:15" x14ac:dyDescent="0.25">
      <c r="A389" s="19">
        <v>375</v>
      </c>
      <c r="B389" s="19">
        <v>641841</v>
      </c>
      <c r="C389" s="20">
        <v>7896658036385</v>
      </c>
      <c r="D389" s="21" t="s">
        <v>471</v>
      </c>
      <c r="E389" s="21" t="s">
        <v>42</v>
      </c>
      <c r="F389" s="19">
        <v>1</v>
      </c>
      <c r="G389" s="22"/>
      <c r="H389" s="23"/>
      <c r="I389" s="24"/>
      <c r="J389" s="25" t="str">
        <f t="shared" si="15"/>
        <v/>
      </c>
      <c r="K389" s="26">
        <v>0</v>
      </c>
      <c r="L389" s="27">
        <v>70.88</v>
      </c>
      <c r="M389" s="28">
        <v>0.02</v>
      </c>
      <c r="N389" s="27">
        <f t="shared" si="16"/>
        <v>69.462400000000002</v>
      </c>
      <c r="O389" s="29">
        <f t="shared" si="17"/>
        <v>69.462400000000002</v>
      </c>
    </row>
    <row r="390" spans="1:15" x14ac:dyDescent="0.25">
      <c r="A390" s="30">
        <v>376</v>
      </c>
      <c r="B390" s="30">
        <v>673471</v>
      </c>
      <c r="C390" s="31">
        <v>7896658052095</v>
      </c>
      <c r="D390" s="32" t="s">
        <v>472</v>
      </c>
      <c r="E390" s="32" t="s">
        <v>42</v>
      </c>
      <c r="F390" s="30">
        <v>2</v>
      </c>
      <c r="G390" s="22"/>
      <c r="H390" s="23"/>
      <c r="I390" s="24"/>
      <c r="J390" s="33" t="str">
        <f t="shared" si="15"/>
        <v/>
      </c>
      <c r="K390" s="26">
        <v>109</v>
      </c>
      <c r="L390" s="27">
        <v>53.95</v>
      </c>
      <c r="M390" s="28">
        <v>0.02</v>
      </c>
      <c r="N390" s="27">
        <f t="shared" si="16"/>
        <v>52.871000000000002</v>
      </c>
      <c r="O390" s="29">
        <f t="shared" si="17"/>
        <v>105.742</v>
      </c>
    </row>
    <row r="391" spans="1:15" x14ac:dyDescent="0.25">
      <c r="A391" s="19">
        <v>377</v>
      </c>
      <c r="B391" s="19">
        <v>641821</v>
      </c>
      <c r="C391" s="20">
        <v>7897732609464</v>
      </c>
      <c r="D391" s="21" t="s">
        <v>473</v>
      </c>
      <c r="E391" s="21" t="s">
        <v>474</v>
      </c>
      <c r="F391" s="19">
        <v>2</v>
      </c>
      <c r="G391" s="22"/>
      <c r="H391" s="23"/>
      <c r="I391" s="24"/>
      <c r="J391" s="25" t="str">
        <f t="shared" si="15"/>
        <v/>
      </c>
      <c r="K391" s="26">
        <v>172</v>
      </c>
      <c r="L391" s="27">
        <v>8.11</v>
      </c>
      <c r="M391" s="28">
        <v>0</v>
      </c>
      <c r="N391" s="27">
        <f t="shared" si="16"/>
        <v>8.11</v>
      </c>
      <c r="O391" s="29">
        <f t="shared" si="17"/>
        <v>16.22</v>
      </c>
    </row>
    <row r="392" spans="1:15" x14ac:dyDescent="0.25">
      <c r="A392" s="30">
        <v>378</v>
      </c>
      <c r="B392" s="30">
        <v>623561</v>
      </c>
      <c r="C392" s="31">
        <v>4005900921574</v>
      </c>
      <c r="D392" s="32" t="s">
        <v>475</v>
      </c>
      <c r="E392" s="32" t="s">
        <v>131</v>
      </c>
      <c r="F392" s="30">
        <v>1</v>
      </c>
      <c r="G392" s="22"/>
      <c r="H392" s="23"/>
      <c r="I392" s="24"/>
      <c r="J392" s="33" t="str">
        <f t="shared" si="15"/>
        <v/>
      </c>
      <c r="K392" s="34">
        <v>0</v>
      </c>
      <c r="L392" s="27">
        <v>0</v>
      </c>
      <c r="M392" s="28">
        <v>0</v>
      </c>
      <c r="N392" s="27">
        <f t="shared" si="16"/>
        <v>0</v>
      </c>
      <c r="O392" s="29">
        <f t="shared" si="17"/>
        <v>0</v>
      </c>
    </row>
    <row r="393" spans="1:15" x14ac:dyDescent="0.25">
      <c r="A393" s="19">
        <v>379</v>
      </c>
      <c r="B393" s="19">
        <v>566961</v>
      </c>
      <c r="C393" s="20">
        <v>4005808555345</v>
      </c>
      <c r="D393" s="21" t="s">
        <v>476</v>
      </c>
      <c r="E393" s="21" t="s">
        <v>131</v>
      </c>
      <c r="F393" s="19">
        <v>1</v>
      </c>
      <c r="G393" s="22"/>
      <c r="H393" s="23"/>
      <c r="I393" s="24"/>
      <c r="J393" s="25" t="str">
        <f t="shared" si="15"/>
        <v/>
      </c>
      <c r="K393" s="26">
        <v>1099</v>
      </c>
      <c r="L393" s="27">
        <v>53.95</v>
      </c>
      <c r="M393" s="28">
        <v>0</v>
      </c>
      <c r="N393" s="27">
        <f t="shared" si="16"/>
        <v>53.95</v>
      </c>
      <c r="O393" s="29">
        <f t="shared" si="17"/>
        <v>53.95</v>
      </c>
    </row>
    <row r="394" spans="1:15" x14ac:dyDescent="0.25">
      <c r="A394" s="19">
        <v>380</v>
      </c>
      <c r="B394" s="19">
        <v>566961</v>
      </c>
      <c r="C394" s="20">
        <v>4005900695536</v>
      </c>
      <c r="D394" s="21" t="s">
        <v>476</v>
      </c>
      <c r="E394" s="21" t="s">
        <v>131</v>
      </c>
      <c r="F394" s="19">
        <v>1</v>
      </c>
      <c r="G394" s="22"/>
      <c r="H394" s="23"/>
      <c r="I394" s="24"/>
      <c r="J394" s="25" t="str">
        <f t="shared" si="15"/>
        <v/>
      </c>
      <c r="K394" s="26">
        <v>0</v>
      </c>
      <c r="L394" s="27">
        <v>53.95</v>
      </c>
      <c r="M394" s="28">
        <v>0</v>
      </c>
      <c r="N394" s="27">
        <f t="shared" si="16"/>
        <v>53.95</v>
      </c>
      <c r="O394" s="29">
        <f t="shared" si="17"/>
        <v>53.95</v>
      </c>
    </row>
    <row r="395" spans="1:15" x14ac:dyDescent="0.25">
      <c r="A395" s="19">
        <v>381</v>
      </c>
      <c r="B395" s="19">
        <v>566961</v>
      </c>
      <c r="C395" s="20">
        <v>4005900709752</v>
      </c>
      <c r="D395" s="21" t="s">
        <v>476</v>
      </c>
      <c r="E395" s="21" t="s">
        <v>131</v>
      </c>
      <c r="F395" s="19">
        <v>1</v>
      </c>
      <c r="G395" s="22"/>
      <c r="H395" s="23"/>
      <c r="I395" s="24"/>
      <c r="J395" s="25" t="str">
        <f t="shared" si="15"/>
        <v/>
      </c>
      <c r="K395" s="26">
        <v>0</v>
      </c>
      <c r="L395" s="27">
        <v>53.95</v>
      </c>
      <c r="M395" s="28">
        <v>0</v>
      </c>
      <c r="N395" s="27">
        <f t="shared" si="16"/>
        <v>53.95</v>
      </c>
      <c r="O395" s="29">
        <f t="shared" si="17"/>
        <v>53.95</v>
      </c>
    </row>
    <row r="396" spans="1:15" x14ac:dyDescent="0.25">
      <c r="A396" s="30">
        <v>382</v>
      </c>
      <c r="B396" s="30">
        <v>615391</v>
      </c>
      <c r="C396" s="31">
        <v>4005900980397</v>
      </c>
      <c r="D396" s="32" t="s">
        <v>477</v>
      </c>
      <c r="E396" s="32" t="s">
        <v>131</v>
      </c>
      <c r="F396" s="30">
        <v>3</v>
      </c>
      <c r="G396" s="22"/>
      <c r="H396" s="23"/>
      <c r="I396" s="24"/>
      <c r="J396" s="33" t="str">
        <f t="shared" si="15"/>
        <v/>
      </c>
      <c r="K396" s="26">
        <v>1</v>
      </c>
      <c r="L396" s="27">
        <v>38.880000000000003</v>
      </c>
      <c r="M396" s="28">
        <v>0</v>
      </c>
      <c r="N396" s="27">
        <f t="shared" si="16"/>
        <v>38.880000000000003</v>
      </c>
      <c r="O396" s="29">
        <f t="shared" si="17"/>
        <v>116.64000000000001</v>
      </c>
    </row>
    <row r="397" spans="1:15" x14ac:dyDescent="0.25">
      <c r="A397" s="19">
        <v>383</v>
      </c>
      <c r="B397" s="19">
        <v>69321</v>
      </c>
      <c r="C397" s="20">
        <v>7896206402013</v>
      </c>
      <c r="D397" s="21" t="s">
        <v>478</v>
      </c>
      <c r="E397" s="21" t="s">
        <v>286</v>
      </c>
      <c r="F397" s="19">
        <v>3</v>
      </c>
      <c r="G397" s="22"/>
      <c r="H397" s="23"/>
      <c r="I397" s="24"/>
      <c r="J397" s="25" t="str">
        <f t="shared" si="15"/>
        <v/>
      </c>
      <c r="K397" s="26">
        <v>2203</v>
      </c>
      <c r="L397" s="27">
        <v>43.99</v>
      </c>
      <c r="M397" s="28">
        <v>1.4999999999999999E-2</v>
      </c>
      <c r="N397" s="27">
        <f t="shared" si="16"/>
        <v>43.330150000000003</v>
      </c>
      <c r="O397" s="29">
        <f t="shared" si="17"/>
        <v>129.99045000000001</v>
      </c>
    </row>
    <row r="398" spans="1:15" x14ac:dyDescent="0.25">
      <c r="A398" s="30">
        <v>384</v>
      </c>
      <c r="B398" s="30">
        <v>500261</v>
      </c>
      <c r="C398" s="31">
        <v>7897595901033</v>
      </c>
      <c r="D398" s="32" t="s">
        <v>479</v>
      </c>
      <c r="E398" s="32" t="s">
        <v>457</v>
      </c>
      <c r="F398" s="30">
        <v>4</v>
      </c>
      <c r="G398" s="22"/>
      <c r="H398" s="23"/>
      <c r="I398" s="24"/>
      <c r="J398" s="33" t="str">
        <f t="shared" si="15"/>
        <v/>
      </c>
      <c r="K398" s="26">
        <v>1568</v>
      </c>
      <c r="L398" s="27">
        <v>13.02</v>
      </c>
      <c r="M398" s="28">
        <v>2.5000000000000001E-2</v>
      </c>
      <c r="N398" s="27">
        <f t="shared" si="16"/>
        <v>12.6945</v>
      </c>
      <c r="O398" s="29">
        <f t="shared" si="17"/>
        <v>50.777999999999999</v>
      </c>
    </row>
    <row r="399" spans="1:15" x14ac:dyDescent="0.25">
      <c r="A399" s="19">
        <v>385</v>
      </c>
      <c r="B399" s="19">
        <v>500281</v>
      </c>
      <c r="C399" s="20">
        <v>7897595901446</v>
      </c>
      <c r="D399" s="21" t="s">
        <v>480</v>
      </c>
      <c r="E399" s="21" t="s">
        <v>457</v>
      </c>
      <c r="F399" s="19">
        <v>4</v>
      </c>
      <c r="G399" s="22"/>
      <c r="H399" s="23"/>
      <c r="I399" s="24"/>
      <c r="J399" s="25" t="str">
        <f t="shared" ref="J399:J462" si="18">IF(G399="","",F399*G399)</f>
        <v/>
      </c>
      <c r="K399" s="26">
        <v>1886</v>
      </c>
      <c r="L399" s="27">
        <v>19.11</v>
      </c>
      <c r="M399" s="28">
        <v>2.5000000000000001E-2</v>
      </c>
      <c r="N399" s="27">
        <f t="shared" si="16"/>
        <v>18.632249999999999</v>
      </c>
      <c r="O399" s="29">
        <f t="shared" si="17"/>
        <v>74.528999999999996</v>
      </c>
    </row>
    <row r="400" spans="1:15" x14ac:dyDescent="0.25">
      <c r="A400" s="30">
        <v>386</v>
      </c>
      <c r="B400" s="30">
        <v>500301</v>
      </c>
      <c r="C400" s="31">
        <v>7897595901330</v>
      </c>
      <c r="D400" s="32" t="s">
        <v>481</v>
      </c>
      <c r="E400" s="32" t="s">
        <v>457</v>
      </c>
      <c r="F400" s="30">
        <v>2</v>
      </c>
      <c r="G400" s="22"/>
      <c r="H400" s="23"/>
      <c r="I400" s="24"/>
      <c r="J400" s="33" t="str">
        <f t="shared" si="18"/>
        <v/>
      </c>
      <c r="K400" s="26">
        <v>386</v>
      </c>
      <c r="L400" s="27">
        <v>20.51</v>
      </c>
      <c r="M400" s="28">
        <v>2.5000000000000001E-2</v>
      </c>
      <c r="N400" s="27">
        <f t="shared" ref="N400:N463" si="19">L400-(L400*M400)</f>
        <v>19.997250000000001</v>
      </c>
      <c r="O400" s="29">
        <f t="shared" ref="O400:O463" si="20">N400*F400</f>
        <v>39.994500000000002</v>
      </c>
    </row>
    <row r="401" spans="1:15" x14ac:dyDescent="0.25">
      <c r="A401" s="19">
        <v>387</v>
      </c>
      <c r="B401" s="19">
        <v>500201</v>
      </c>
      <c r="C401" s="20">
        <v>7897595901309</v>
      </c>
      <c r="D401" s="21" t="s">
        <v>482</v>
      </c>
      <c r="E401" s="21" t="s">
        <v>457</v>
      </c>
      <c r="F401" s="19">
        <v>1</v>
      </c>
      <c r="G401" s="22"/>
      <c r="H401" s="23"/>
      <c r="I401" s="24"/>
      <c r="J401" s="25" t="str">
        <f t="shared" si="18"/>
        <v/>
      </c>
      <c r="K401" s="26">
        <v>0</v>
      </c>
      <c r="L401" s="27">
        <v>13.82</v>
      </c>
      <c r="M401" s="28">
        <v>2.5000000000000001E-2</v>
      </c>
      <c r="N401" s="27">
        <f t="shared" si="19"/>
        <v>13.474500000000001</v>
      </c>
      <c r="O401" s="29">
        <f t="shared" si="20"/>
        <v>13.474500000000001</v>
      </c>
    </row>
    <row r="402" spans="1:15" x14ac:dyDescent="0.25">
      <c r="A402" s="30">
        <v>388</v>
      </c>
      <c r="B402" s="30">
        <v>319641</v>
      </c>
      <c r="C402" s="31">
        <v>7891058003562</v>
      </c>
      <c r="D402" s="32" t="s">
        <v>483</v>
      </c>
      <c r="E402" s="32" t="s">
        <v>457</v>
      </c>
      <c r="F402" s="30">
        <v>4</v>
      </c>
      <c r="G402" s="22"/>
      <c r="H402" s="23"/>
      <c r="I402" s="24"/>
      <c r="J402" s="33" t="str">
        <f t="shared" si="18"/>
        <v/>
      </c>
      <c r="K402" s="26">
        <v>2343</v>
      </c>
      <c r="L402" s="27">
        <v>8.75</v>
      </c>
      <c r="M402" s="28">
        <v>2.5000000000000001E-2</v>
      </c>
      <c r="N402" s="27">
        <f t="shared" si="19"/>
        <v>8.53125</v>
      </c>
      <c r="O402" s="29">
        <f t="shared" si="20"/>
        <v>34.125</v>
      </c>
    </row>
    <row r="403" spans="1:15" x14ac:dyDescent="0.25">
      <c r="A403" s="19">
        <v>389</v>
      </c>
      <c r="B403" s="19">
        <v>320961</v>
      </c>
      <c r="C403" s="20">
        <v>7897595903365</v>
      </c>
      <c r="D403" s="21" t="s">
        <v>484</v>
      </c>
      <c r="E403" s="21" t="s">
        <v>457</v>
      </c>
      <c r="F403" s="19">
        <v>6</v>
      </c>
      <c r="G403" s="22"/>
      <c r="H403" s="23"/>
      <c r="I403" s="24"/>
      <c r="J403" s="25" t="str">
        <f t="shared" si="18"/>
        <v/>
      </c>
      <c r="K403" s="26">
        <v>0</v>
      </c>
      <c r="L403" s="27">
        <v>20.11</v>
      </c>
      <c r="M403" s="28">
        <v>2.5000000000000001E-2</v>
      </c>
      <c r="N403" s="27">
        <f t="shared" si="19"/>
        <v>19.607250000000001</v>
      </c>
      <c r="O403" s="29">
        <f t="shared" si="20"/>
        <v>117.6435</v>
      </c>
    </row>
    <row r="404" spans="1:15" x14ac:dyDescent="0.25">
      <c r="A404" s="30">
        <v>390</v>
      </c>
      <c r="B404" s="30">
        <v>594241</v>
      </c>
      <c r="C404" s="31">
        <v>7898636191079</v>
      </c>
      <c r="D404" s="32" t="s">
        <v>485</v>
      </c>
      <c r="E404" s="32" t="s">
        <v>78</v>
      </c>
      <c r="F404" s="30">
        <v>1</v>
      </c>
      <c r="G404" s="22"/>
      <c r="H404" s="23"/>
      <c r="I404" s="24"/>
      <c r="J404" s="33" t="str">
        <f t="shared" si="18"/>
        <v/>
      </c>
      <c r="K404" s="34">
        <v>0</v>
      </c>
      <c r="L404" s="27">
        <v>0</v>
      </c>
      <c r="M404" s="28">
        <v>0</v>
      </c>
      <c r="N404" s="27">
        <f t="shared" si="19"/>
        <v>0</v>
      </c>
      <c r="O404" s="29">
        <f t="shared" si="20"/>
        <v>0</v>
      </c>
    </row>
    <row r="405" spans="1:15" x14ac:dyDescent="0.25">
      <c r="A405" s="19">
        <v>391</v>
      </c>
      <c r="B405" s="19">
        <v>509861</v>
      </c>
      <c r="C405" s="20">
        <v>7896672203909</v>
      </c>
      <c r="D405" s="21" t="s">
        <v>486</v>
      </c>
      <c r="E405" s="21" t="s">
        <v>128</v>
      </c>
      <c r="F405" s="19">
        <v>1</v>
      </c>
      <c r="G405" s="22"/>
      <c r="H405" s="23"/>
      <c r="I405" s="24"/>
      <c r="J405" s="25" t="str">
        <f t="shared" si="18"/>
        <v/>
      </c>
      <c r="K405" s="26">
        <v>168</v>
      </c>
      <c r="L405" s="27">
        <v>56.02</v>
      </c>
      <c r="M405" s="28">
        <v>0.03</v>
      </c>
      <c r="N405" s="27">
        <f t="shared" si="19"/>
        <v>54.339400000000005</v>
      </c>
      <c r="O405" s="29">
        <f t="shared" si="20"/>
        <v>54.339400000000005</v>
      </c>
    </row>
    <row r="406" spans="1:15" x14ac:dyDescent="0.25">
      <c r="A406" s="30">
        <v>392</v>
      </c>
      <c r="B406" s="30">
        <v>619551</v>
      </c>
      <c r="C406" s="31">
        <v>3282779340274</v>
      </c>
      <c r="D406" s="32" t="s">
        <v>487</v>
      </c>
      <c r="E406" s="32" t="s">
        <v>320</v>
      </c>
      <c r="F406" s="30">
        <v>1</v>
      </c>
      <c r="G406" s="22"/>
      <c r="H406" s="23"/>
      <c r="I406" s="24"/>
      <c r="J406" s="33" t="str">
        <f t="shared" si="18"/>
        <v/>
      </c>
      <c r="K406" s="34">
        <v>0</v>
      </c>
      <c r="L406" s="27">
        <v>0</v>
      </c>
      <c r="M406" s="28">
        <v>0</v>
      </c>
      <c r="N406" s="27">
        <f t="shared" si="19"/>
        <v>0</v>
      </c>
      <c r="O406" s="29">
        <f t="shared" si="20"/>
        <v>0</v>
      </c>
    </row>
    <row r="407" spans="1:15" x14ac:dyDescent="0.25">
      <c r="A407" s="19">
        <v>393</v>
      </c>
      <c r="B407" s="19">
        <v>624261</v>
      </c>
      <c r="C407" s="20">
        <v>7899706141062</v>
      </c>
      <c r="D407" s="21" t="s">
        <v>488</v>
      </c>
      <c r="E407" s="21" t="s">
        <v>63</v>
      </c>
      <c r="F407" s="19">
        <v>1</v>
      </c>
      <c r="G407" s="22"/>
      <c r="H407" s="23"/>
      <c r="I407" s="24"/>
      <c r="J407" s="25" t="str">
        <f t="shared" si="18"/>
        <v/>
      </c>
      <c r="K407" s="34">
        <v>0</v>
      </c>
      <c r="L407" s="27">
        <v>0</v>
      </c>
      <c r="M407" s="28">
        <v>0</v>
      </c>
      <c r="N407" s="27">
        <f t="shared" si="19"/>
        <v>0</v>
      </c>
      <c r="O407" s="29">
        <f t="shared" si="20"/>
        <v>0</v>
      </c>
    </row>
    <row r="408" spans="1:15" x14ac:dyDescent="0.25">
      <c r="A408" s="30">
        <v>394</v>
      </c>
      <c r="B408" s="30">
        <v>290261</v>
      </c>
      <c r="C408" s="31">
        <v>7894916510417</v>
      </c>
      <c r="D408" s="32" t="s">
        <v>489</v>
      </c>
      <c r="E408" s="32" t="s">
        <v>194</v>
      </c>
      <c r="F408" s="30">
        <v>1</v>
      </c>
      <c r="G408" s="22"/>
      <c r="H408" s="23"/>
      <c r="I408" s="24"/>
      <c r="J408" s="33" t="str">
        <f t="shared" si="18"/>
        <v/>
      </c>
      <c r="K408" s="26">
        <v>0</v>
      </c>
      <c r="L408" s="27">
        <v>49.1</v>
      </c>
      <c r="M408" s="28">
        <v>0</v>
      </c>
      <c r="N408" s="27">
        <f t="shared" si="19"/>
        <v>49.1</v>
      </c>
      <c r="O408" s="29">
        <f t="shared" si="20"/>
        <v>49.1</v>
      </c>
    </row>
    <row r="409" spans="1:15" x14ac:dyDescent="0.25">
      <c r="A409" s="19">
        <v>395</v>
      </c>
      <c r="B409" s="19">
        <v>204261</v>
      </c>
      <c r="C409" s="20">
        <v>7897337713382</v>
      </c>
      <c r="D409" s="21" t="s">
        <v>490</v>
      </c>
      <c r="E409" s="21" t="s">
        <v>76</v>
      </c>
      <c r="F409" s="19">
        <v>1</v>
      </c>
      <c r="G409" s="22"/>
      <c r="H409" s="23"/>
      <c r="I409" s="24"/>
      <c r="J409" s="25" t="str">
        <f t="shared" si="18"/>
        <v/>
      </c>
      <c r="K409" s="26">
        <v>548</v>
      </c>
      <c r="L409" s="27">
        <v>37.92</v>
      </c>
      <c r="M409" s="28">
        <v>0.03</v>
      </c>
      <c r="N409" s="27">
        <f t="shared" si="19"/>
        <v>36.782400000000003</v>
      </c>
      <c r="O409" s="29">
        <f t="shared" si="20"/>
        <v>36.782400000000003</v>
      </c>
    </row>
    <row r="410" spans="1:15" x14ac:dyDescent="0.25">
      <c r="A410" s="30">
        <v>396</v>
      </c>
      <c r="B410" s="30">
        <v>594491</v>
      </c>
      <c r="C410" s="31">
        <v>7891106914031</v>
      </c>
      <c r="D410" s="32" t="s">
        <v>491</v>
      </c>
      <c r="E410" s="32" t="s">
        <v>80</v>
      </c>
      <c r="F410" s="30">
        <v>1</v>
      </c>
      <c r="G410" s="22"/>
      <c r="H410" s="23"/>
      <c r="I410" s="24"/>
      <c r="J410" s="33" t="str">
        <f t="shared" si="18"/>
        <v/>
      </c>
      <c r="K410" s="34">
        <v>0</v>
      </c>
      <c r="L410" s="27">
        <v>0</v>
      </c>
      <c r="M410" s="28">
        <v>0</v>
      </c>
      <c r="N410" s="27">
        <f t="shared" si="19"/>
        <v>0</v>
      </c>
      <c r="O410" s="29">
        <f t="shared" si="20"/>
        <v>0</v>
      </c>
    </row>
    <row r="411" spans="1:15" x14ac:dyDescent="0.25">
      <c r="A411" s="19">
        <v>397</v>
      </c>
      <c r="B411" s="19">
        <v>623721</v>
      </c>
      <c r="C411" s="20">
        <v>7899706251068</v>
      </c>
      <c r="D411" s="21" t="s">
        <v>492</v>
      </c>
      <c r="E411" s="21" t="s">
        <v>63</v>
      </c>
      <c r="F411" s="19">
        <v>1</v>
      </c>
      <c r="G411" s="22"/>
      <c r="H411" s="23"/>
      <c r="I411" s="24"/>
      <c r="J411" s="25" t="str">
        <f t="shared" si="18"/>
        <v/>
      </c>
      <c r="K411" s="34">
        <v>0</v>
      </c>
      <c r="L411" s="27">
        <v>0</v>
      </c>
      <c r="M411" s="28">
        <v>0</v>
      </c>
      <c r="N411" s="27">
        <f t="shared" si="19"/>
        <v>0</v>
      </c>
      <c r="O411" s="29">
        <f t="shared" si="20"/>
        <v>0</v>
      </c>
    </row>
    <row r="412" spans="1:15" x14ac:dyDescent="0.25">
      <c r="A412" s="30">
        <v>398</v>
      </c>
      <c r="B412" s="30">
        <v>624351</v>
      </c>
      <c r="C412" s="31">
        <v>7899706134231</v>
      </c>
      <c r="D412" s="32" t="s">
        <v>493</v>
      </c>
      <c r="E412" s="32" t="s">
        <v>63</v>
      </c>
      <c r="F412" s="30">
        <v>1</v>
      </c>
      <c r="G412" s="22"/>
      <c r="H412" s="23"/>
      <c r="I412" s="24"/>
      <c r="J412" s="33" t="str">
        <f t="shared" si="18"/>
        <v/>
      </c>
      <c r="K412" s="26">
        <v>0</v>
      </c>
      <c r="L412" s="27">
        <v>143.69999999999999</v>
      </c>
      <c r="M412" s="28">
        <v>0</v>
      </c>
      <c r="N412" s="27">
        <f t="shared" si="19"/>
        <v>143.69999999999999</v>
      </c>
      <c r="O412" s="29">
        <f t="shared" si="20"/>
        <v>143.69999999999999</v>
      </c>
    </row>
    <row r="413" spans="1:15" x14ac:dyDescent="0.25">
      <c r="A413" s="19">
        <v>399</v>
      </c>
      <c r="B413" s="19">
        <v>636021</v>
      </c>
      <c r="C413" s="20">
        <v>7899706192057</v>
      </c>
      <c r="D413" s="21" t="s">
        <v>494</v>
      </c>
      <c r="E413" s="21" t="s">
        <v>217</v>
      </c>
      <c r="F413" s="19">
        <v>1</v>
      </c>
      <c r="G413" s="22"/>
      <c r="H413" s="23"/>
      <c r="I413" s="24"/>
      <c r="J413" s="25" t="str">
        <f t="shared" si="18"/>
        <v/>
      </c>
      <c r="K413" s="26">
        <v>57</v>
      </c>
      <c r="L413" s="27">
        <v>114.54</v>
      </c>
      <c r="M413" s="28">
        <v>0</v>
      </c>
      <c r="N413" s="27">
        <f t="shared" si="19"/>
        <v>114.54</v>
      </c>
      <c r="O413" s="29">
        <f t="shared" si="20"/>
        <v>114.54</v>
      </c>
    </row>
    <row r="414" spans="1:15" x14ac:dyDescent="0.25">
      <c r="A414" s="30">
        <v>400</v>
      </c>
      <c r="B414" s="30">
        <v>623231</v>
      </c>
      <c r="C414" s="31">
        <v>7899706197106</v>
      </c>
      <c r="D414" s="32" t="s">
        <v>495</v>
      </c>
      <c r="E414" s="32" t="s">
        <v>290</v>
      </c>
      <c r="F414" s="30">
        <v>1</v>
      </c>
      <c r="G414" s="22"/>
      <c r="H414" s="23"/>
      <c r="I414" s="24"/>
      <c r="J414" s="33" t="str">
        <f t="shared" si="18"/>
        <v/>
      </c>
      <c r="K414" s="34">
        <v>0</v>
      </c>
      <c r="L414" s="27">
        <v>0</v>
      </c>
      <c r="M414" s="28">
        <v>0</v>
      </c>
      <c r="N414" s="27">
        <f t="shared" si="19"/>
        <v>0</v>
      </c>
      <c r="O414" s="29">
        <f t="shared" si="20"/>
        <v>0</v>
      </c>
    </row>
    <row r="415" spans="1:15" x14ac:dyDescent="0.25">
      <c r="A415" s="19">
        <v>401</v>
      </c>
      <c r="B415" s="19">
        <v>663071</v>
      </c>
      <c r="C415" s="20">
        <v>7891150096509</v>
      </c>
      <c r="D415" s="21" t="s">
        <v>496</v>
      </c>
      <c r="E415" s="21" t="s">
        <v>232</v>
      </c>
      <c r="F415" s="19">
        <v>1</v>
      </c>
      <c r="G415" s="22"/>
      <c r="H415" s="23"/>
      <c r="I415" s="24"/>
      <c r="J415" s="25" t="str">
        <f t="shared" si="18"/>
        <v/>
      </c>
      <c r="K415" s="34">
        <v>0</v>
      </c>
      <c r="L415" s="27">
        <v>0</v>
      </c>
      <c r="M415" s="28">
        <v>0</v>
      </c>
      <c r="N415" s="27">
        <f t="shared" si="19"/>
        <v>0</v>
      </c>
      <c r="O415" s="29">
        <f t="shared" si="20"/>
        <v>0</v>
      </c>
    </row>
    <row r="416" spans="1:15" x14ac:dyDescent="0.25">
      <c r="A416" s="30">
        <v>402</v>
      </c>
      <c r="B416" s="30">
        <v>660461</v>
      </c>
      <c r="C416" s="31">
        <v>7896004780092</v>
      </c>
      <c r="D416" s="32" t="s">
        <v>497</v>
      </c>
      <c r="E416" s="32" t="s">
        <v>498</v>
      </c>
      <c r="F416" s="30">
        <v>1</v>
      </c>
      <c r="G416" s="22"/>
      <c r="H416" s="23"/>
      <c r="I416" s="24"/>
      <c r="J416" s="33" t="str">
        <f t="shared" si="18"/>
        <v/>
      </c>
      <c r="K416" s="26">
        <v>31</v>
      </c>
      <c r="L416" s="27">
        <v>25.72</v>
      </c>
      <c r="M416" s="28">
        <v>0</v>
      </c>
      <c r="N416" s="27">
        <f t="shared" si="19"/>
        <v>25.72</v>
      </c>
      <c r="O416" s="29">
        <f t="shared" si="20"/>
        <v>25.72</v>
      </c>
    </row>
    <row r="417" spans="1:15" x14ac:dyDescent="0.25">
      <c r="A417" s="19">
        <v>403</v>
      </c>
      <c r="B417" s="19">
        <v>255521</v>
      </c>
      <c r="C417" s="20">
        <v>7896658011276</v>
      </c>
      <c r="D417" s="21" t="s">
        <v>499</v>
      </c>
      <c r="E417" s="21" t="s">
        <v>42</v>
      </c>
      <c r="F417" s="19">
        <v>3</v>
      </c>
      <c r="G417" s="22"/>
      <c r="H417" s="23"/>
      <c r="I417" s="24"/>
      <c r="J417" s="25" t="str">
        <f t="shared" si="18"/>
        <v/>
      </c>
      <c r="K417" s="26">
        <v>212</v>
      </c>
      <c r="L417" s="27">
        <v>33.229999999999997</v>
      </c>
      <c r="M417" s="28">
        <v>0.02</v>
      </c>
      <c r="N417" s="27">
        <f t="shared" si="19"/>
        <v>32.565399999999997</v>
      </c>
      <c r="O417" s="29">
        <f t="shared" si="20"/>
        <v>97.69619999999999</v>
      </c>
    </row>
    <row r="418" spans="1:15" x14ac:dyDescent="0.25">
      <c r="A418" s="30">
        <v>404</v>
      </c>
      <c r="B418" s="30">
        <v>205741</v>
      </c>
      <c r="C418" s="31">
        <v>7891317177645</v>
      </c>
      <c r="D418" s="32" t="s">
        <v>500</v>
      </c>
      <c r="E418" s="32" t="s">
        <v>40</v>
      </c>
      <c r="F418" s="30">
        <v>1</v>
      </c>
      <c r="G418" s="22"/>
      <c r="H418" s="23"/>
      <c r="I418" s="24"/>
      <c r="J418" s="33" t="str">
        <f t="shared" si="18"/>
        <v/>
      </c>
      <c r="K418" s="26">
        <v>49</v>
      </c>
      <c r="L418" s="27">
        <v>34.21</v>
      </c>
      <c r="M418" s="28">
        <v>0.02</v>
      </c>
      <c r="N418" s="27">
        <f t="shared" si="19"/>
        <v>33.525800000000004</v>
      </c>
      <c r="O418" s="29">
        <f t="shared" si="20"/>
        <v>33.525800000000004</v>
      </c>
    </row>
    <row r="419" spans="1:15" x14ac:dyDescent="0.25">
      <c r="A419" s="19">
        <v>405</v>
      </c>
      <c r="B419" s="19">
        <v>652031</v>
      </c>
      <c r="C419" s="20">
        <v>7896094211438</v>
      </c>
      <c r="D419" s="21" t="s">
        <v>501</v>
      </c>
      <c r="E419" s="21"/>
      <c r="F419" s="19">
        <v>1</v>
      </c>
      <c r="G419" s="22"/>
      <c r="H419" s="23"/>
      <c r="I419" s="24"/>
      <c r="J419" s="25" t="str">
        <f t="shared" si="18"/>
        <v/>
      </c>
      <c r="K419" s="34">
        <v>0</v>
      </c>
      <c r="L419" s="27">
        <v>0</v>
      </c>
      <c r="M419" s="28">
        <v>0.01</v>
      </c>
      <c r="N419" s="27">
        <f t="shared" si="19"/>
        <v>0</v>
      </c>
      <c r="O419" s="29">
        <f t="shared" si="20"/>
        <v>0</v>
      </c>
    </row>
    <row r="420" spans="1:15" x14ac:dyDescent="0.25">
      <c r="A420" s="30">
        <v>406</v>
      </c>
      <c r="B420" s="30">
        <v>204241</v>
      </c>
      <c r="C420" s="31">
        <v>7897337713399</v>
      </c>
      <c r="D420" s="32" t="s">
        <v>502</v>
      </c>
      <c r="E420" s="32" t="s">
        <v>76</v>
      </c>
      <c r="F420" s="30">
        <v>1</v>
      </c>
      <c r="G420" s="22"/>
      <c r="H420" s="23"/>
      <c r="I420" s="24"/>
      <c r="J420" s="33" t="str">
        <f t="shared" si="18"/>
        <v/>
      </c>
      <c r="K420" s="26">
        <v>56</v>
      </c>
      <c r="L420" s="27">
        <v>99.6</v>
      </c>
      <c r="M420" s="28">
        <v>0.03</v>
      </c>
      <c r="N420" s="27">
        <f t="shared" si="19"/>
        <v>96.611999999999995</v>
      </c>
      <c r="O420" s="29">
        <f t="shared" si="20"/>
        <v>96.611999999999995</v>
      </c>
    </row>
    <row r="421" spans="1:15" x14ac:dyDescent="0.25">
      <c r="A421" s="19">
        <v>407</v>
      </c>
      <c r="B421" s="19">
        <v>649771</v>
      </c>
      <c r="C421" s="20">
        <v>7896676440492</v>
      </c>
      <c r="D421" s="21" t="s">
        <v>503</v>
      </c>
      <c r="E421" s="21"/>
      <c r="F421" s="19">
        <v>1</v>
      </c>
      <c r="G421" s="22"/>
      <c r="H421" s="23"/>
      <c r="I421" s="24"/>
      <c r="J421" s="25" t="str">
        <f t="shared" si="18"/>
        <v/>
      </c>
      <c r="K421" s="26">
        <v>2</v>
      </c>
      <c r="L421" s="27">
        <v>49.27</v>
      </c>
      <c r="M421" s="28">
        <v>0</v>
      </c>
      <c r="N421" s="27">
        <f t="shared" si="19"/>
        <v>49.27</v>
      </c>
      <c r="O421" s="29">
        <f t="shared" si="20"/>
        <v>49.27</v>
      </c>
    </row>
    <row r="422" spans="1:15" x14ac:dyDescent="0.25">
      <c r="A422" s="30">
        <v>408</v>
      </c>
      <c r="B422" s="30">
        <v>514881</v>
      </c>
      <c r="C422" s="31">
        <v>7891317010478</v>
      </c>
      <c r="D422" s="32" t="s">
        <v>504</v>
      </c>
      <c r="E422" s="32" t="s">
        <v>40</v>
      </c>
      <c r="F422" s="30">
        <v>1</v>
      </c>
      <c r="G422" s="22"/>
      <c r="H422" s="23"/>
      <c r="I422" s="24"/>
      <c r="J422" s="33" t="str">
        <f t="shared" si="18"/>
        <v/>
      </c>
      <c r="K422" s="34">
        <v>0</v>
      </c>
      <c r="L422" s="27">
        <v>0</v>
      </c>
      <c r="M422" s="28">
        <v>0.02</v>
      </c>
      <c r="N422" s="27">
        <f t="shared" si="19"/>
        <v>0</v>
      </c>
      <c r="O422" s="29">
        <f t="shared" si="20"/>
        <v>0</v>
      </c>
    </row>
    <row r="423" spans="1:15" x14ac:dyDescent="0.25">
      <c r="A423" s="19">
        <v>409</v>
      </c>
      <c r="B423" s="19">
        <v>223901</v>
      </c>
      <c r="C423" s="20">
        <v>7891058015787</v>
      </c>
      <c r="D423" s="21" t="s">
        <v>505</v>
      </c>
      <c r="E423" s="21" t="s">
        <v>200</v>
      </c>
      <c r="F423" s="19">
        <v>1</v>
      </c>
      <c r="G423" s="22"/>
      <c r="H423" s="23"/>
      <c r="I423" s="24"/>
      <c r="J423" s="25" t="str">
        <f t="shared" si="18"/>
        <v/>
      </c>
      <c r="K423" s="34">
        <v>0</v>
      </c>
      <c r="L423" s="27">
        <v>0</v>
      </c>
      <c r="M423" s="28">
        <v>0</v>
      </c>
      <c r="N423" s="27">
        <f t="shared" si="19"/>
        <v>0</v>
      </c>
      <c r="O423" s="29">
        <f t="shared" si="20"/>
        <v>0</v>
      </c>
    </row>
    <row r="424" spans="1:15" x14ac:dyDescent="0.25">
      <c r="A424" s="30">
        <v>410</v>
      </c>
      <c r="B424" s="30">
        <v>578761</v>
      </c>
      <c r="C424" s="31">
        <v>7898639690418</v>
      </c>
      <c r="D424" s="32" t="s">
        <v>506</v>
      </c>
      <c r="E424" s="32" t="s">
        <v>68</v>
      </c>
      <c r="F424" s="30">
        <v>36</v>
      </c>
      <c r="G424" s="22"/>
      <c r="H424" s="23"/>
      <c r="I424" s="24"/>
      <c r="J424" s="33" t="str">
        <f t="shared" si="18"/>
        <v/>
      </c>
      <c r="K424" s="34">
        <v>0</v>
      </c>
      <c r="L424" s="27">
        <v>0</v>
      </c>
      <c r="M424" s="28">
        <v>0</v>
      </c>
      <c r="N424" s="27">
        <f t="shared" si="19"/>
        <v>0</v>
      </c>
      <c r="O424" s="29">
        <f t="shared" si="20"/>
        <v>0</v>
      </c>
    </row>
    <row r="425" spans="1:15" x14ac:dyDescent="0.25">
      <c r="A425" s="19">
        <v>411</v>
      </c>
      <c r="B425" s="19">
        <v>146041</v>
      </c>
      <c r="C425" s="20">
        <v>7892953001370</v>
      </c>
      <c r="D425" s="21" t="s">
        <v>507</v>
      </c>
      <c r="E425" s="21" t="s">
        <v>237</v>
      </c>
      <c r="F425" s="19">
        <v>14</v>
      </c>
      <c r="G425" s="22"/>
      <c r="H425" s="23"/>
      <c r="I425" s="24"/>
      <c r="J425" s="25" t="str">
        <f t="shared" si="18"/>
        <v/>
      </c>
      <c r="K425" s="26">
        <v>1887</v>
      </c>
      <c r="L425" s="27">
        <v>22.57</v>
      </c>
      <c r="M425" s="28">
        <v>0.02</v>
      </c>
      <c r="N425" s="27">
        <f t="shared" si="19"/>
        <v>22.118600000000001</v>
      </c>
      <c r="O425" s="29">
        <f t="shared" si="20"/>
        <v>309.66039999999998</v>
      </c>
    </row>
    <row r="426" spans="1:15" x14ac:dyDescent="0.25">
      <c r="A426" s="30">
        <v>412</v>
      </c>
      <c r="B426" s="30">
        <v>146061</v>
      </c>
      <c r="C426" s="31">
        <v>7892953001387</v>
      </c>
      <c r="D426" s="32" t="s">
        <v>508</v>
      </c>
      <c r="E426" s="32" t="s">
        <v>237</v>
      </c>
      <c r="F426" s="30">
        <v>24</v>
      </c>
      <c r="G426" s="22"/>
      <c r="H426" s="23"/>
      <c r="I426" s="24"/>
      <c r="J426" s="33" t="str">
        <f t="shared" si="18"/>
        <v/>
      </c>
      <c r="K426" s="26">
        <v>2351</v>
      </c>
      <c r="L426" s="27">
        <v>27.09</v>
      </c>
      <c r="M426" s="28">
        <v>0.02</v>
      </c>
      <c r="N426" s="27">
        <f t="shared" si="19"/>
        <v>26.548200000000001</v>
      </c>
      <c r="O426" s="29">
        <f t="shared" si="20"/>
        <v>637.15679999999998</v>
      </c>
    </row>
    <row r="427" spans="1:15" x14ac:dyDescent="0.25">
      <c r="A427" s="19">
        <v>413</v>
      </c>
      <c r="B427" s="19">
        <v>485721</v>
      </c>
      <c r="C427" s="20">
        <v>7908020502722</v>
      </c>
      <c r="D427" s="21" t="s">
        <v>509</v>
      </c>
      <c r="E427" s="21" t="s">
        <v>302</v>
      </c>
      <c r="F427" s="19">
        <v>1</v>
      </c>
      <c r="G427" s="22"/>
      <c r="H427" s="23"/>
      <c r="I427" s="24"/>
      <c r="J427" s="25" t="str">
        <f t="shared" si="18"/>
        <v/>
      </c>
      <c r="K427" s="34">
        <v>0</v>
      </c>
      <c r="L427" s="27">
        <v>0</v>
      </c>
      <c r="M427" s="28">
        <v>0.02</v>
      </c>
      <c r="N427" s="27">
        <f t="shared" si="19"/>
        <v>0</v>
      </c>
      <c r="O427" s="29">
        <f t="shared" si="20"/>
        <v>0</v>
      </c>
    </row>
    <row r="428" spans="1:15" x14ac:dyDescent="0.25">
      <c r="A428" s="30">
        <v>414</v>
      </c>
      <c r="B428" s="30">
        <v>658161</v>
      </c>
      <c r="C428" s="31">
        <v>7898638348730</v>
      </c>
      <c r="D428" s="32" t="s">
        <v>510</v>
      </c>
      <c r="E428" s="32" t="s">
        <v>511</v>
      </c>
      <c r="F428" s="30">
        <v>1</v>
      </c>
      <c r="G428" s="22"/>
      <c r="H428" s="23"/>
      <c r="I428" s="24"/>
      <c r="J428" s="33" t="str">
        <f t="shared" si="18"/>
        <v/>
      </c>
      <c r="K428" s="34">
        <v>0</v>
      </c>
      <c r="L428" s="27">
        <v>0</v>
      </c>
      <c r="M428" s="28">
        <v>0</v>
      </c>
      <c r="N428" s="27">
        <f t="shared" si="19"/>
        <v>0</v>
      </c>
      <c r="O428" s="29">
        <f t="shared" si="20"/>
        <v>0</v>
      </c>
    </row>
    <row r="429" spans="1:15" x14ac:dyDescent="0.25">
      <c r="A429" s="19">
        <v>415</v>
      </c>
      <c r="B429" s="19">
        <v>657991</v>
      </c>
      <c r="C429" s="20">
        <v>7898638348747</v>
      </c>
      <c r="D429" s="21" t="s">
        <v>512</v>
      </c>
      <c r="E429" s="21" t="s">
        <v>511</v>
      </c>
      <c r="F429" s="19">
        <v>2</v>
      </c>
      <c r="G429" s="22"/>
      <c r="H429" s="23"/>
      <c r="I429" s="24"/>
      <c r="J429" s="25" t="str">
        <f t="shared" si="18"/>
        <v/>
      </c>
      <c r="K429" s="34">
        <v>0</v>
      </c>
      <c r="L429" s="27">
        <v>0</v>
      </c>
      <c r="M429" s="28">
        <v>0</v>
      </c>
      <c r="N429" s="27">
        <f t="shared" si="19"/>
        <v>0</v>
      </c>
      <c r="O429" s="29">
        <f t="shared" si="20"/>
        <v>0</v>
      </c>
    </row>
    <row r="430" spans="1:15" x14ac:dyDescent="0.25">
      <c r="A430" s="30">
        <v>416</v>
      </c>
      <c r="B430" s="30">
        <v>650281</v>
      </c>
      <c r="C430" s="31">
        <v>7898638348754</v>
      </c>
      <c r="D430" s="32" t="s">
        <v>513</v>
      </c>
      <c r="E430" s="32" t="s">
        <v>511</v>
      </c>
      <c r="F430" s="30">
        <v>2</v>
      </c>
      <c r="G430" s="22"/>
      <c r="H430" s="23"/>
      <c r="I430" s="24"/>
      <c r="J430" s="33" t="str">
        <f t="shared" si="18"/>
        <v/>
      </c>
      <c r="K430" s="34">
        <v>0</v>
      </c>
      <c r="L430" s="27">
        <v>0</v>
      </c>
      <c r="M430" s="28">
        <v>0</v>
      </c>
      <c r="N430" s="27">
        <f t="shared" si="19"/>
        <v>0</v>
      </c>
      <c r="O430" s="29">
        <f t="shared" si="20"/>
        <v>0</v>
      </c>
    </row>
    <row r="431" spans="1:15" x14ac:dyDescent="0.25">
      <c r="A431" s="19">
        <v>417</v>
      </c>
      <c r="B431" s="19">
        <v>657981</v>
      </c>
      <c r="C431" s="20">
        <v>7898638348785</v>
      </c>
      <c r="D431" s="21" t="s">
        <v>514</v>
      </c>
      <c r="E431" s="21" t="s">
        <v>511</v>
      </c>
      <c r="F431" s="19">
        <v>1</v>
      </c>
      <c r="G431" s="22"/>
      <c r="H431" s="23"/>
      <c r="I431" s="24"/>
      <c r="J431" s="25" t="str">
        <f t="shared" si="18"/>
        <v/>
      </c>
      <c r="K431" s="34">
        <v>0</v>
      </c>
      <c r="L431" s="27">
        <v>0</v>
      </c>
      <c r="M431" s="28">
        <v>0</v>
      </c>
      <c r="N431" s="27">
        <f t="shared" si="19"/>
        <v>0</v>
      </c>
      <c r="O431" s="29">
        <f t="shared" si="20"/>
        <v>0</v>
      </c>
    </row>
    <row r="432" spans="1:15" x14ac:dyDescent="0.25">
      <c r="A432" s="30">
        <v>418</v>
      </c>
      <c r="B432" s="30">
        <v>622891</v>
      </c>
      <c r="C432" s="31">
        <v>7891106908535</v>
      </c>
      <c r="D432" s="32" t="s">
        <v>515</v>
      </c>
      <c r="E432" s="32" t="s">
        <v>288</v>
      </c>
      <c r="F432" s="30">
        <v>3</v>
      </c>
      <c r="G432" s="22"/>
      <c r="H432" s="23"/>
      <c r="I432" s="24"/>
      <c r="J432" s="33" t="str">
        <f t="shared" si="18"/>
        <v/>
      </c>
      <c r="K432" s="26">
        <v>111</v>
      </c>
      <c r="L432" s="27">
        <v>16.899999999999999</v>
      </c>
      <c r="M432" s="28">
        <v>0</v>
      </c>
      <c r="N432" s="27">
        <f t="shared" si="19"/>
        <v>16.899999999999999</v>
      </c>
      <c r="O432" s="29">
        <f t="shared" si="20"/>
        <v>50.699999999999996</v>
      </c>
    </row>
    <row r="433" spans="1:15" x14ac:dyDescent="0.25">
      <c r="A433" s="19">
        <v>419</v>
      </c>
      <c r="B433" s="19">
        <v>14581</v>
      </c>
      <c r="C433" s="20">
        <v>7891106006279</v>
      </c>
      <c r="D433" s="21" t="s">
        <v>516</v>
      </c>
      <c r="E433" s="21" t="s">
        <v>80</v>
      </c>
      <c r="F433" s="19">
        <v>4</v>
      </c>
      <c r="G433" s="22"/>
      <c r="H433" s="23"/>
      <c r="I433" s="24"/>
      <c r="J433" s="25" t="str">
        <f t="shared" si="18"/>
        <v/>
      </c>
      <c r="K433" s="26">
        <v>772</v>
      </c>
      <c r="L433" s="27">
        <v>19.68</v>
      </c>
      <c r="M433" s="28">
        <v>0</v>
      </c>
      <c r="N433" s="27">
        <f t="shared" si="19"/>
        <v>19.68</v>
      </c>
      <c r="O433" s="29">
        <f t="shared" si="20"/>
        <v>78.72</v>
      </c>
    </row>
    <row r="434" spans="1:15" x14ac:dyDescent="0.25">
      <c r="A434" s="30">
        <v>420</v>
      </c>
      <c r="B434" s="30">
        <v>14601</v>
      </c>
      <c r="C434" s="31">
        <v>7891106006286</v>
      </c>
      <c r="D434" s="32" t="s">
        <v>517</v>
      </c>
      <c r="E434" s="32" t="s">
        <v>80</v>
      </c>
      <c r="F434" s="30">
        <v>89</v>
      </c>
      <c r="G434" s="22"/>
      <c r="H434" s="23"/>
      <c r="I434" s="24"/>
      <c r="J434" s="33" t="str">
        <f t="shared" si="18"/>
        <v/>
      </c>
      <c r="K434" s="26">
        <v>5019</v>
      </c>
      <c r="L434" s="27">
        <v>19.61</v>
      </c>
      <c r="M434" s="28">
        <v>2.5000000000000001E-2</v>
      </c>
      <c r="N434" s="27">
        <f t="shared" si="19"/>
        <v>19.11975</v>
      </c>
      <c r="O434" s="29">
        <f t="shared" si="20"/>
        <v>1701.6577500000001</v>
      </c>
    </row>
    <row r="435" spans="1:15" x14ac:dyDescent="0.25">
      <c r="A435" s="19">
        <v>421</v>
      </c>
      <c r="B435" s="19">
        <v>565941</v>
      </c>
      <c r="C435" s="20">
        <v>7891106912655</v>
      </c>
      <c r="D435" s="21" t="s">
        <v>518</v>
      </c>
      <c r="E435" s="21" t="s">
        <v>80</v>
      </c>
      <c r="F435" s="19">
        <v>1</v>
      </c>
      <c r="G435" s="22"/>
      <c r="H435" s="23"/>
      <c r="I435" s="24"/>
      <c r="J435" s="25" t="str">
        <f t="shared" si="18"/>
        <v/>
      </c>
      <c r="K435" s="26">
        <v>1056</v>
      </c>
      <c r="L435" s="27">
        <v>18.309999999999999</v>
      </c>
      <c r="M435" s="28">
        <v>0</v>
      </c>
      <c r="N435" s="27">
        <f t="shared" si="19"/>
        <v>18.309999999999999</v>
      </c>
      <c r="O435" s="29">
        <f t="shared" si="20"/>
        <v>18.309999999999999</v>
      </c>
    </row>
    <row r="436" spans="1:15" x14ac:dyDescent="0.25">
      <c r="A436" s="30">
        <v>422</v>
      </c>
      <c r="B436" s="30">
        <v>1553</v>
      </c>
      <c r="C436" s="31">
        <v>7898956544111</v>
      </c>
      <c r="D436" s="32" t="s">
        <v>519</v>
      </c>
      <c r="E436" s="32" t="s">
        <v>520</v>
      </c>
      <c r="F436" s="30">
        <v>4</v>
      </c>
      <c r="G436" s="22"/>
      <c r="H436" s="23"/>
      <c r="I436" s="24"/>
      <c r="J436" s="33" t="str">
        <f t="shared" si="18"/>
        <v/>
      </c>
      <c r="K436" s="26">
        <v>702</v>
      </c>
      <c r="L436" s="27">
        <v>115.25</v>
      </c>
      <c r="M436" s="28">
        <v>0.06</v>
      </c>
      <c r="N436" s="27">
        <f t="shared" si="19"/>
        <v>108.33499999999999</v>
      </c>
      <c r="O436" s="29">
        <f t="shared" si="20"/>
        <v>433.34</v>
      </c>
    </row>
    <row r="437" spans="1:15" x14ac:dyDescent="0.25">
      <c r="A437" s="19">
        <v>423</v>
      </c>
      <c r="B437" s="19">
        <v>563</v>
      </c>
      <c r="C437" s="20">
        <v>7896046381004</v>
      </c>
      <c r="D437" s="21" t="s">
        <v>521</v>
      </c>
      <c r="E437" s="21" t="s">
        <v>522</v>
      </c>
      <c r="F437" s="19">
        <v>4</v>
      </c>
      <c r="G437" s="22"/>
      <c r="H437" s="23"/>
      <c r="I437" s="24"/>
      <c r="J437" s="25" t="str">
        <f t="shared" si="18"/>
        <v/>
      </c>
      <c r="K437" s="26">
        <v>296</v>
      </c>
      <c r="L437" s="27">
        <v>47.01</v>
      </c>
      <c r="M437" s="28">
        <v>0</v>
      </c>
      <c r="N437" s="27">
        <f t="shared" si="19"/>
        <v>47.01</v>
      </c>
      <c r="O437" s="29">
        <f t="shared" si="20"/>
        <v>188.04</v>
      </c>
    </row>
    <row r="438" spans="1:15" x14ac:dyDescent="0.25">
      <c r="A438" s="30">
        <v>424</v>
      </c>
      <c r="B438" s="30">
        <v>647811</v>
      </c>
      <c r="C438" s="31">
        <v>7896046390020</v>
      </c>
      <c r="D438" s="32" t="s">
        <v>523</v>
      </c>
      <c r="E438" s="32"/>
      <c r="F438" s="30">
        <v>2</v>
      </c>
      <c r="G438" s="22"/>
      <c r="H438" s="23"/>
      <c r="I438" s="24"/>
      <c r="J438" s="33" t="str">
        <f t="shared" si="18"/>
        <v/>
      </c>
      <c r="K438" s="26">
        <v>20</v>
      </c>
      <c r="L438" s="27">
        <v>25.54</v>
      </c>
      <c r="M438" s="28">
        <v>0</v>
      </c>
      <c r="N438" s="27">
        <f t="shared" si="19"/>
        <v>25.54</v>
      </c>
      <c r="O438" s="29">
        <f t="shared" si="20"/>
        <v>51.08</v>
      </c>
    </row>
    <row r="439" spans="1:15" x14ac:dyDescent="0.25">
      <c r="A439" s="19">
        <v>425</v>
      </c>
      <c r="B439" s="19">
        <v>431061</v>
      </c>
      <c r="C439" s="20">
        <v>7898560661563</v>
      </c>
      <c r="D439" s="21" t="s">
        <v>524</v>
      </c>
      <c r="E439" s="21" t="s">
        <v>334</v>
      </c>
      <c r="F439" s="19">
        <v>2</v>
      </c>
      <c r="G439" s="22"/>
      <c r="H439" s="23"/>
      <c r="I439" s="24"/>
      <c r="J439" s="25" t="str">
        <f t="shared" si="18"/>
        <v/>
      </c>
      <c r="K439" s="26">
        <v>0</v>
      </c>
      <c r="L439" s="27">
        <v>33.33</v>
      </c>
      <c r="M439" s="28">
        <v>2.5000000000000001E-2</v>
      </c>
      <c r="N439" s="27">
        <f t="shared" si="19"/>
        <v>32.496749999999999</v>
      </c>
      <c r="O439" s="29">
        <f t="shared" si="20"/>
        <v>64.993499999999997</v>
      </c>
    </row>
    <row r="440" spans="1:15" x14ac:dyDescent="0.25">
      <c r="A440" s="30">
        <v>426</v>
      </c>
      <c r="B440" s="30">
        <v>116841</v>
      </c>
      <c r="C440" s="31">
        <v>7896637022552</v>
      </c>
      <c r="D440" s="32" t="s">
        <v>525</v>
      </c>
      <c r="E440" s="32" t="s">
        <v>86</v>
      </c>
      <c r="F440" s="30">
        <v>3</v>
      </c>
      <c r="G440" s="22"/>
      <c r="H440" s="23"/>
      <c r="I440" s="24"/>
      <c r="J440" s="33" t="str">
        <f t="shared" si="18"/>
        <v/>
      </c>
      <c r="K440" s="26">
        <v>637</v>
      </c>
      <c r="L440" s="27">
        <v>34.56</v>
      </c>
      <c r="M440" s="28">
        <v>1.4999999999999999E-2</v>
      </c>
      <c r="N440" s="27">
        <f t="shared" si="19"/>
        <v>34.041600000000003</v>
      </c>
      <c r="O440" s="29">
        <f t="shared" si="20"/>
        <v>102.12480000000001</v>
      </c>
    </row>
    <row r="441" spans="1:15" x14ac:dyDescent="0.25">
      <c r="A441" s="19">
        <v>427</v>
      </c>
      <c r="B441" s="19">
        <v>611001</v>
      </c>
      <c r="C441" s="20">
        <v>4005900945709</v>
      </c>
      <c r="D441" s="21" t="s">
        <v>526</v>
      </c>
      <c r="E441" s="21" t="s">
        <v>131</v>
      </c>
      <c r="F441" s="19">
        <v>1</v>
      </c>
      <c r="G441" s="22"/>
      <c r="H441" s="23"/>
      <c r="I441" s="24"/>
      <c r="J441" s="25" t="str">
        <f t="shared" si="18"/>
        <v/>
      </c>
      <c r="K441" s="26">
        <v>80</v>
      </c>
      <c r="L441" s="27">
        <v>28.6</v>
      </c>
      <c r="M441" s="28">
        <v>0</v>
      </c>
      <c r="N441" s="27">
        <f t="shared" si="19"/>
        <v>28.6</v>
      </c>
      <c r="O441" s="29">
        <f t="shared" si="20"/>
        <v>28.6</v>
      </c>
    </row>
    <row r="442" spans="1:15" x14ac:dyDescent="0.25">
      <c r="A442" s="30">
        <v>428</v>
      </c>
      <c r="B442" s="30">
        <v>555241</v>
      </c>
      <c r="C442" s="31">
        <v>7898949409557</v>
      </c>
      <c r="D442" s="32" t="s">
        <v>527</v>
      </c>
      <c r="E442" s="32" t="s">
        <v>135</v>
      </c>
      <c r="F442" s="30">
        <v>3</v>
      </c>
      <c r="G442" s="22"/>
      <c r="H442" s="23"/>
      <c r="I442" s="24"/>
      <c r="J442" s="33" t="str">
        <f t="shared" si="18"/>
        <v/>
      </c>
      <c r="K442" s="26">
        <v>932</v>
      </c>
      <c r="L442" s="27">
        <v>10.98</v>
      </c>
      <c r="M442" s="28">
        <v>0</v>
      </c>
      <c r="N442" s="27">
        <f t="shared" si="19"/>
        <v>10.98</v>
      </c>
      <c r="O442" s="29">
        <f t="shared" si="20"/>
        <v>32.94</v>
      </c>
    </row>
    <row r="443" spans="1:15" x14ac:dyDescent="0.25">
      <c r="A443" s="19">
        <v>429</v>
      </c>
      <c r="B443" s="19">
        <v>104</v>
      </c>
      <c r="C443" s="20">
        <v>4005808189342</v>
      </c>
      <c r="D443" s="21" t="s">
        <v>528</v>
      </c>
      <c r="E443" s="21" t="s">
        <v>131</v>
      </c>
      <c r="F443" s="19">
        <v>1</v>
      </c>
      <c r="G443" s="22"/>
      <c r="H443" s="23"/>
      <c r="I443" s="24"/>
      <c r="J443" s="25" t="str">
        <f t="shared" si="18"/>
        <v/>
      </c>
      <c r="K443" s="26">
        <v>0</v>
      </c>
      <c r="L443" s="27">
        <v>24.98</v>
      </c>
      <c r="M443" s="28">
        <v>0</v>
      </c>
      <c r="N443" s="27">
        <f t="shared" si="19"/>
        <v>24.98</v>
      </c>
      <c r="O443" s="29">
        <f t="shared" si="20"/>
        <v>24.98</v>
      </c>
    </row>
    <row r="444" spans="1:15" x14ac:dyDescent="0.25">
      <c r="A444" s="30">
        <v>430</v>
      </c>
      <c r="B444" s="30">
        <v>45</v>
      </c>
      <c r="C444" s="31">
        <v>7896004790640</v>
      </c>
      <c r="D444" s="32" t="s">
        <v>529</v>
      </c>
      <c r="E444" s="32" t="s">
        <v>288</v>
      </c>
      <c r="F444" s="30">
        <v>2</v>
      </c>
      <c r="G444" s="22"/>
      <c r="H444" s="23"/>
      <c r="I444" s="24"/>
      <c r="J444" s="33" t="str">
        <f t="shared" si="18"/>
        <v/>
      </c>
      <c r="K444" s="34">
        <v>0</v>
      </c>
      <c r="L444" s="27">
        <v>0</v>
      </c>
      <c r="M444" s="28">
        <v>0</v>
      </c>
      <c r="N444" s="27">
        <f t="shared" si="19"/>
        <v>0</v>
      </c>
      <c r="O444" s="29">
        <f t="shared" si="20"/>
        <v>0</v>
      </c>
    </row>
    <row r="445" spans="1:15" x14ac:dyDescent="0.25">
      <c r="A445" s="19">
        <v>431</v>
      </c>
      <c r="B445" s="19">
        <v>431301</v>
      </c>
      <c r="C445" s="20">
        <v>7896227800089</v>
      </c>
      <c r="D445" s="21" t="s">
        <v>530</v>
      </c>
      <c r="E445" s="21" t="s">
        <v>531</v>
      </c>
      <c r="F445" s="19">
        <v>2</v>
      </c>
      <c r="G445" s="22"/>
      <c r="H445" s="23"/>
      <c r="I445" s="24"/>
      <c r="J445" s="25" t="str">
        <f t="shared" si="18"/>
        <v/>
      </c>
      <c r="K445" s="26">
        <v>0</v>
      </c>
      <c r="L445" s="27">
        <v>17.23</v>
      </c>
      <c r="M445" s="28">
        <v>0</v>
      </c>
      <c r="N445" s="27">
        <f t="shared" si="19"/>
        <v>17.23</v>
      </c>
      <c r="O445" s="29">
        <f t="shared" si="20"/>
        <v>34.46</v>
      </c>
    </row>
    <row r="446" spans="1:15" x14ac:dyDescent="0.25">
      <c r="A446" s="30">
        <v>432</v>
      </c>
      <c r="B446" s="30">
        <v>318421</v>
      </c>
      <c r="C446" s="31">
        <v>7896227800812</v>
      </c>
      <c r="D446" s="32" t="s">
        <v>532</v>
      </c>
      <c r="E446" s="32" t="s">
        <v>531</v>
      </c>
      <c r="F446" s="30">
        <v>65</v>
      </c>
      <c r="G446" s="22"/>
      <c r="H446" s="23"/>
      <c r="I446" s="24"/>
      <c r="J446" s="33" t="str">
        <f t="shared" si="18"/>
        <v/>
      </c>
      <c r="K446" s="26">
        <v>0</v>
      </c>
      <c r="L446" s="27">
        <v>8.2200000000000006</v>
      </c>
      <c r="M446" s="28">
        <v>0</v>
      </c>
      <c r="N446" s="27">
        <f t="shared" si="19"/>
        <v>8.2200000000000006</v>
      </c>
      <c r="O446" s="29">
        <f t="shared" si="20"/>
        <v>534.30000000000007</v>
      </c>
    </row>
    <row r="447" spans="1:15" x14ac:dyDescent="0.25">
      <c r="A447" s="19">
        <v>433</v>
      </c>
      <c r="B447" s="19">
        <v>318441</v>
      </c>
      <c r="C447" s="20">
        <v>7896227800829</v>
      </c>
      <c r="D447" s="21" t="s">
        <v>533</v>
      </c>
      <c r="E447" s="21" t="s">
        <v>531</v>
      </c>
      <c r="F447" s="19">
        <v>59</v>
      </c>
      <c r="G447" s="22"/>
      <c r="H447" s="23"/>
      <c r="I447" s="24"/>
      <c r="J447" s="25" t="str">
        <f t="shared" si="18"/>
        <v/>
      </c>
      <c r="K447" s="26">
        <v>47256</v>
      </c>
      <c r="L447" s="27">
        <v>14.8</v>
      </c>
      <c r="M447" s="28">
        <v>0</v>
      </c>
      <c r="N447" s="27">
        <f t="shared" si="19"/>
        <v>14.8</v>
      </c>
      <c r="O447" s="29">
        <f t="shared" si="20"/>
        <v>873.2</v>
      </c>
    </row>
    <row r="448" spans="1:15" x14ac:dyDescent="0.25">
      <c r="A448" s="19">
        <v>434</v>
      </c>
      <c r="B448" s="19">
        <v>318441</v>
      </c>
      <c r="C448" s="20">
        <v>7896227800867</v>
      </c>
      <c r="D448" s="21" t="s">
        <v>533</v>
      </c>
      <c r="E448" s="21" t="s">
        <v>531</v>
      </c>
      <c r="F448" s="19">
        <v>59</v>
      </c>
      <c r="G448" s="22"/>
      <c r="H448" s="23"/>
      <c r="I448" s="24"/>
      <c r="J448" s="25" t="str">
        <f t="shared" si="18"/>
        <v/>
      </c>
      <c r="K448" s="34">
        <v>0</v>
      </c>
      <c r="L448" s="27">
        <v>0</v>
      </c>
      <c r="M448" s="28">
        <v>0</v>
      </c>
      <c r="N448" s="27">
        <f t="shared" si="19"/>
        <v>0</v>
      </c>
      <c r="O448" s="29">
        <f t="shared" si="20"/>
        <v>0</v>
      </c>
    </row>
    <row r="449" spans="1:15" x14ac:dyDescent="0.25">
      <c r="A449" s="30">
        <v>435</v>
      </c>
      <c r="B449" s="30">
        <v>318461</v>
      </c>
      <c r="C449" s="31">
        <v>7896227800799</v>
      </c>
      <c r="D449" s="32" t="s">
        <v>534</v>
      </c>
      <c r="E449" s="32" t="s">
        <v>531</v>
      </c>
      <c r="F449" s="30">
        <v>79</v>
      </c>
      <c r="G449" s="22"/>
      <c r="H449" s="23"/>
      <c r="I449" s="24"/>
      <c r="J449" s="33" t="str">
        <f t="shared" si="18"/>
        <v/>
      </c>
      <c r="K449" s="26">
        <v>0</v>
      </c>
      <c r="L449" s="27">
        <v>4.12</v>
      </c>
      <c r="M449" s="28">
        <v>0</v>
      </c>
      <c r="N449" s="27">
        <f t="shared" si="19"/>
        <v>4.12</v>
      </c>
      <c r="O449" s="29">
        <f t="shared" si="20"/>
        <v>325.48</v>
      </c>
    </row>
    <row r="450" spans="1:15" x14ac:dyDescent="0.25">
      <c r="A450" s="30">
        <v>436</v>
      </c>
      <c r="B450" s="30">
        <v>318461</v>
      </c>
      <c r="C450" s="31">
        <v>7896227800881</v>
      </c>
      <c r="D450" s="32" t="s">
        <v>534</v>
      </c>
      <c r="E450" s="32" t="s">
        <v>531</v>
      </c>
      <c r="F450" s="30">
        <v>79</v>
      </c>
      <c r="G450" s="22"/>
      <c r="H450" s="23"/>
      <c r="I450" s="24"/>
      <c r="J450" s="33" t="str">
        <f t="shared" si="18"/>
        <v/>
      </c>
      <c r="K450" s="34">
        <v>0</v>
      </c>
      <c r="L450" s="27">
        <v>0</v>
      </c>
      <c r="M450" s="28">
        <v>0</v>
      </c>
      <c r="N450" s="27">
        <f t="shared" si="19"/>
        <v>0</v>
      </c>
      <c r="O450" s="29">
        <f t="shared" si="20"/>
        <v>0</v>
      </c>
    </row>
    <row r="451" spans="1:15" x14ac:dyDescent="0.25">
      <c r="A451" s="19">
        <v>437</v>
      </c>
      <c r="B451" s="19">
        <v>623011</v>
      </c>
      <c r="C451" s="20">
        <v>4987188501115</v>
      </c>
      <c r="D451" s="21" t="s">
        <v>535</v>
      </c>
      <c r="E451" s="21" t="s">
        <v>531</v>
      </c>
      <c r="F451" s="19">
        <v>6</v>
      </c>
      <c r="G451" s="22"/>
      <c r="H451" s="23"/>
      <c r="I451" s="24"/>
      <c r="J451" s="25" t="str">
        <f t="shared" si="18"/>
        <v/>
      </c>
      <c r="K451" s="26">
        <v>7215</v>
      </c>
      <c r="L451" s="27">
        <v>16.03</v>
      </c>
      <c r="M451" s="28">
        <v>0</v>
      </c>
      <c r="N451" s="27">
        <f t="shared" si="19"/>
        <v>16.03</v>
      </c>
      <c r="O451" s="29">
        <f t="shared" si="20"/>
        <v>96.18</v>
      </c>
    </row>
    <row r="452" spans="1:15" x14ac:dyDescent="0.25">
      <c r="A452" s="30">
        <v>438</v>
      </c>
      <c r="B452" s="30">
        <v>244781</v>
      </c>
      <c r="C452" s="31">
        <v>7898074618183</v>
      </c>
      <c r="D452" s="32" t="s">
        <v>536</v>
      </c>
      <c r="E452" s="32" t="s">
        <v>264</v>
      </c>
      <c r="F452" s="30">
        <v>20</v>
      </c>
      <c r="G452" s="22"/>
      <c r="H452" s="23"/>
      <c r="I452" s="24"/>
      <c r="J452" s="33" t="str">
        <f t="shared" si="18"/>
        <v/>
      </c>
      <c r="K452" s="26">
        <v>4209</v>
      </c>
      <c r="L452" s="27">
        <v>27.22</v>
      </c>
      <c r="M452" s="28">
        <v>0.03</v>
      </c>
      <c r="N452" s="27">
        <f t="shared" si="19"/>
        <v>26.403399999999998</v>
      </c>
      <c r="O452" s="29">
        <f t="shared" si="20"/>
        <v>528.06799999999998</v>
      </c>
    </row>
    <row r="453" spans="1:15" x14ac:dyDescent="0.25">
      <c r="A453" s="19">
        <v>439</v>
      </c>
      <c r="B453" s="19">
        <v>4281</v>
      </c>
      <c r="C453" s="20">
        <v>7891317465650</v>
      </c>
      <c r="D453" s="21" t="s">
        <v>537</v>
      </c>
      <c r="E453" s="21" t="s">
        <v>40</v>
      </c>
      <c r="F453" s="19">
        <v>10</v>
      </c>
      <c r="G453" s="22"/>
      <c r="H453" s="23"/>
      <c r="I453" s="24"/>
      <c r="J453" s="25" t="str">
        <f t="shared" si="18"/>
        <v/>
      </c>
      <c r="K453" s="26">
        <v>668</v>
      </c>
      <c r="L453" s="27">
        <v>57.96</v>
      </c>
      <c r="M453" s="28">
        <v>0.02</v>
      </c>
      <c r="N453" s="27">
        <f t="shared" si="19"/>
        <v>56.800800000000002</v>
      </c>
      <c r="O453" s="29">
        <f t="shared" si="20"/>
        <v>568.00800000000004</v>
      </c>
    </row>
    <row r="454" spans="1:15" x14ac:dyDescent="0.25">
      <c r="A454" s="30">
        <v>440</v>
      </c>
      <c r="B454" s="30">
        <v>444281</v>
      </c>
      <c r="C454" s="31">
        <v>7896206402853</v>
      </c>
      <c r="D454" s="32" t="s">
        <v>538</v>
      </c>
      <c r="E454" s="32" t="s">
        <v>286</v>
      </c>
      <c r="F454" s="30">
        <v>6</v>
      </c>
      <c r="G454" s="22"/>
      <c r="H454" s="23"/>
      <c r="I454" s="24"/>
      <c r="J454" s="33" t="str">
        <f t="shared" si="18"/>
        <v/>
      </c>
      <c r="K454" s="26">
        <v>1747</v>
      </c>
      <c r="L454" s="27">
        <v>32.61</v>
      </c>
      <c r="M454" s="28">
        <v>0</v>
      </c>
      <c r="N454" s="27">
        <f t="shared" si="19"/>
        <v>32.61</v>
      </c>
      <c r="O454" s="29">
        <f t="shared" si="20"/>
        <v>195.66</v>
      </c>
    </row>
    <row r="455" spans="1:15" x14ac:dyDescent="0.25">
      <c r="A455" s="19">
        <v>441</v>
      </c>
      <c r="B455" s="19">
        <v>444341</v>
      </c>
      <c r="C455" s="20">
        <v>7896206402860</v>
      </c>
      <c r="D455" s="21" t="s">
        <v>539</v>
      </c>
      <c r="E455" s="21" t="s">
        <v>286</v>
      </c>
      <c r="F455" s="19">
        <v>4</v>
      </c>
      <c r="G455" s="22"/>
      <c r="H455" s="23"/>
      <c r="I455" s="24"/>
      <c r="J455" s="25" t="str">
        <f t="shared" si="18"/>
        <v/>
      </c>
      <c r="K455" s="26">
        <v>963</v>
      </c>
      <c r="L455" s="27">
        <v>65.44</v>
      </c>
      <c r="M455" s="28">
        <v>0</v>
      </c>
      <c r="N455" s="27">
        <f t="shared" si="19"/>
        <v>65.44</v>
      </c>
      <c r="O455" s="29">
        <f t="shared" si="20"/>
        <v>261.76</v>
      </c>
    </row>
    <row r="456" spans="1:15" x14ac:dyDescent="0.25">
      <c r="A456" s="30">
        <v>442</v>
      </c>
      <c r="B456" s="30">
        <v>542281</v>
      </c>
      <c r="C456" s="31">
        <v>7892828001405</v>
      </c>
      <c r="D456" s="32" t="s">
        <v>540</v>
      </c>
      <c r="E456" s="32" t="s">
        <v>35</v>
      </c>
      <c r="F456" s="30">
        <v>7</v>
      </c>
      <c r="G456" s="22"/>
      <c r="H456" s="23"/>
      <c r="I456" s="24"/>
      <c r="J456" s="33" t="str">
        <f t="shared" si="18"/>
        <v/>
      </c>
      <c r="K456" s="26">
        <v>2460</v>
      </c>
      <c r="L456" s="27">
        <v>38.15</v>
      </c>
      <c r="M456" s="28">
        <v>0.05</v>
      </c>
      <c r="N456" s="27">
        <f t="shared" si="19"/>
        <v>36.2425</v>
      </c>
      <c r="O456" s="29">
        <f t="shared" si="20"/>
        <v>253.69749999999999</v>
      </c>
    </row>
    <row r="457" spans="1:15" x14ac:dyDescent="0.25">
      <c r="A457" s="19">
        <v>443</v>
      </c>
      <c r="B457" s="19">
        <v>656201</v>
      </c>
      <c r="C457" s="20">
        <v>7891150095878</v>
      </c>
      <c r="D457" s="21" t="s">
        <v>541</v>
      </c>
      <c r="E457" s="21" t="s">
        <v>232</v>
      </c>
      <c r="F457" s="19">
        <v>6</v>
      </c>
      <c r="G457" s="22"/>
      <c r="H457" s="23"/>
      <c r="I457" s="24"/>
      <c r="J457" s="25" t="str">
        <f t="shared" si="18"/>
        <v/>
      </c>
      <c r="K457" s="26">
        <v>93</v>
      </c>
      <c r="L457" s="27">
        <v>38.020000000000003</v>
      </c>
      <c r="M457" s="28">
        <v>0</v>
      </c>
      <c r="N457" s="27">
        <f t="shared" si="19"/>
        <v>38.020000000000003</v>
      </c>
      <c r="O457" s="29">
        <f t="shared" si="20"/>
        <v>228.12</v>
      </c>
    </row>
    <row r="458" spans="1:15" x14ac:dyDescent="0.25">
      <c r="A458" s="30">
        <v>444</v>
      </c>
      <c r="B458" s="30">
        <v>844</v>
      </c>
      <c r="C458" s="31">
        <v>7898949409922</v>
      </c>
      <c r="D458" s="32" t="s">
        <v>542</v>
      </c>
      <c r="E458" s="32" t="s">
        <v>78</v>
      </c>
      <c r="F458" s="30">
        <v>1</v>
      </c>
      <c r="G458" s="22"/>
      <c r="H458" s="23"/>
      <c r="I458" s="24"/>
      <c r="J458" s="33" t="str">
        <f t="shared" si="18"/>
        <v/>
      </c>
      <c r="K458" s="26">
        <v>181</v>
      </c>
      <c r="L458" s="27">
        <v>36.11</v>
      </c>
      <c r="M458" s="28">
        <v>0</v>
      </c>
      <c r="N458" s="27">
        <f t="shared" si="19"/>
        <v>36.11</v>
      </c>
      <c r="O458" s="29">
        <f t="shared" si="20"/>
        <v>36.11</v>
      </c>
    </row>
    <row r="459" spans="1:15" x14ac:dyDescent="0.25">
      <c r="A459" s="19">
        <v>445</v>
      </c>
      <c r="B459" s="19">
        <v>109721</v>
      </c>
      <c r="C459" s="20">
        <v>7894916501477</v>
      </c>
      <c r="D459" s="21" t="s">
        <v>543</v>
      </c>
      <c r="E459" s="21" t="s">
        <v>122</v>
      </c>
      <c r="F459" s="19">
        <v>2</v>
      </c>
      <c r="G459" s="22"/>
      <c r="H459" s="23"/>
      <c r="I459" s="24"/>
      <c r="J459" s="25" t="str">
        <f t="shared" si="18"/>
        <v/>
      </c>
      <c r="K459" s="26">
        <v>164</v>
      </c>
      <c r="L459" s="27">
        <v>30.09</v>
      </c>
      <c r="M459" s="28">
        <v>0.02</v>
      </c>
      <c r="N459" s="27">
        <f t="shared" si="19"/>
        <v>29.488199999999999</v>
      </c>
      <c r="O459" s="29">
        <f t="shared" si="20"/>
        <v>58.976399999999998</v>
      </c>
    </row>
    <row r="460" spans="1:15" x14ac:dyDescent="0.25">
      <c r="A460" s="30">
        <v>446</v>
      </c>
      <c r="B460" s="30">
        <v>605291</v>
      </c>
      <c r="C460" s="31">
        <v>7897460401934</v>
      </c>
      <c r="D460" s="32" t="s">
        <v>544</v>
      </c>
      <c r="E460" s="32" t="s">
        <v>545</v>
      </c>
      <c r="F460" s="30">
        <v>2</v>
      </c>
      <c r="G460" s="22"/>
      <c r="H460" s="23"/>
      <c r="I460" s="24"/>
      <c r="J460" s="33" t="str">
        <f t="shared" si="18"/>
        <v/>
      </c>
      <c r="K460" s="26">
        <v>1135</v>
      </c>
      <c r="L460" s="27">
        <v>20.81</v>
      </c>
      <c r="M460" s="28">
        <v>0.02</v>
      </c>
      <c r="N460" s="27">
        <f t="shared" si="19"/>
        <v>20.393799999999999</v>
      </c>
      <c r="O460" s="29">
        <f t="shared" si="20"/>
        <v>40.787599999999998</v>
      </c>
    </row>
    <row r="461" spans="1:15" x14ac:dyDescent="0.25">
      <c r="A461" s="19">
        <v>447</v>
      </c>
      <c r="B461" s="19">
        <v>618651</v>
      </c>
      <c r="C461" s="20">
        <v>7891317020101</v>
      </c>
      <c r="D461" s="21" t="s">
        <v>546</v>
      </c>
      <c r="E461" s="21" t="s">
        <v>106</v>
      </c>
      <c r="F461" s="19">
        <v>1</v>
      </c>
      <c r="G461" s="22"/>
      <c r="H461" s="23"/>
      <c r="I461" s="24"/>
      <c r="J461" s="25" t="str">
        <f t="shared" si="18"/>
        <v/>
      </c>
      <c r="K461" s="26">
        <v>431</v>
      </c>
      <c r="L461" s="27">
        <v>48.69</v>
      </c>
      <c r="M461" s="28">
        <v>0.02</v>
      </c>
      <c r="N461" s="27">
        <f t="shared" si="19"/>
        <v>47.716200000000001</v>
      </c>
      <c r="O461" s="29">
        <f t="shared" si="20"/>
        <v>47.716200000000001</v>
      </c>
    </row>
    <row r="462" spans="1:15" x14ac:dyDescent="0.25">
      <c r="A462" s="30">
        <v>448</v>
      </c>
      <c r="B462" s="30">
        <v>114821</v>
      </c>
      <c r="C462" s="31">
        <v>7896082900337</v>
      </c>
      <c r="D462" s="32" t="s">
        <v>547</v>
      </c>
      <c r="E462" s="32" t="s">
        <v>548</v>
      </c>
      <c r="F462" s="30">
        <v>1</v>
      </c>
      <c r="G462" s="22"/>
      <c r="H462" s="23"/>
      <c r="I462" s="24"/>
      <c r="J462" s="33" t="str">
        <f t="shared" si="18"/>
        <v/>
      </c>
      <c r="K462" s="26">
        <v>119</v>
      </c>
      <c r="L462" s="27">
        <v>18.63</v>
      </c>
      <c r="M462" s="28">
        <v>0.02</v>
      </c>
      <c r="N462" s="27">
        <f t="shared" si="19"/>
        <v>18.257400000000001</v>
      </c>
      <c r="O462" s="29">
        <f t="shared" si="20"/>
        <v>18.257400000000001</v>
      </c>
    </row>
    <row r="463" spans="1:15" x14ac:dyDescent="0.25">
      <c r="A463" s="19">
        <v>449</v>
      </c>
      <c r="B463" s="19">
        <v>529941</v>
      </c>
      <c r="C463" s="20">
        <v>7908134200552</v>
      </c>
      <c r="D463" s="21" t="s">
        <v>549</v>
      </c>
      <c r="E463" s="21" t="s">
        <v>520</v>
      </c>
      <c r="F463" s="19">
        <v>1</v>
      </c>
      <c r="G463" s="22"/>
      <c r="H463" s="23"/>
      <c r="I463" s="24"/>
      <c r="J463" s="25" t="str">
        <f t="shared" ref="J463:J526" si="21">IF(G463="","",F463*G463)</f>
        <v/>
      </c>
      <c r="K463" s="26">
        <v>9</v>
      </c>
      <c r="L463" s="27">
        <v>240.97</v>
      </c>
      <c r="M463" s="28">
        <v>8.5000000000000006E-2</v>
      </c>
      <c r="N463" s="27">
        <f t="shared" si="19"/>
        <v>220.48755</v>
      </c>
      <c r="O463" s="29">
        <f t="shared" si="20"/>
        <v>220.48755</v>
      </c>
    </row>
    <row r="464" spans="1:15" x14ac:dyDescent="0.25">
      <c r="A464" s="30">
        <v>450</v>
      </c>
      <c r="B464" s="30">
        <v>529921</v>
      </c>
      <c r="C464" s="31">
        <v>7908134200453</v>
      </c>
      <c r="D464" s="32" t="s">
        <v>550</v>
      </c>
      <c r="E464" s="32" t="s">
        <v>520</v>
      </c>
      <c r="F464" s="30">
        <v>5</v>
      </c>
      <c r="G464" s="22"/>
      <c r="H464" s="23"/>
      <c r="I464" s="24"/>
      <c r="J464" s="33" t="str">
        <f t="shared" si="21"/>
        <v/>
      </c>
      <c r="K464" s="26">
        <v>998</v>
      </c>
      <c r="L464" s="27">
        <v>101.15</v>
      </c>
      <c r="M464" s="28">
        <v>8.5000000000000006E-2</v>
      </c>
      <c r="N464" s="27">
        <f t="shared" ref="N464:N527" si="22">L464-(L464*M464)</f>
        <v>92.552250000000001</v>
      </c>
      <c r="O464" s="29">
        <f t="shared" ref="O464:O527" si="23">N464*F464</f>
        <v>462.76125000000002</v>
      </c>
    </row>
    <row r="465" spans="1:15" x14ac:dyDescent="0.25">
      <c r="A465" s="19">
        <v>451</v>
      </c>
      <c r="B465" s="19">
        <v>645561</v>
      </c>
      <c r="C465" s="20">
        <v>7897930761209</v>
      </c>
      <c r="D465" s="21" t="s">
        <v>551</v>
      </c>
      <c r="E465" s="21"/>
      <c r="F465" s="19">
        <v>1</v>
      </c>
      <c r="G465" s="22"/>
      <c r="H465" s="23"/>
      <c r="I465" s="24"/>
      <c r="J465" s="25" t="str">
        <f t="shared" si="21"/>
        <v/>
      </c>
      <c r="K465" s="34">
        <v>0</v>
      </c>
      <c r="L465" s="27">
        <v>0</v>
      </c>
      <c r="M465" s="28">
        <v>0</v>
      </c>
      <c r="N465" s="27">
        <f t="shared" si="22"/>
        <v>0</v>
      </c>
      <c r="O465" s="29">
        <f t="shared" si="23"/>
        <v>0</v>
      </c>
    </row>
    <row r="466" spans="1:15" x14ac:dyDescent="0.25">
      <c r="A466" s="30">
        <v>452</v>
      </c>
      <c r="B466" s="30">
        <v>609031</v>
      </c>
      <c r="C466" s="31">
        <v>7897930750043</v>
      </c>
      <c r="D466" s="32" t="s">
        <v>552</v>
      </c>
      <c r="E466" s="32" t="s">
        <v>553</v>
      </c>
      <c r="F466" s="30">
        <v>6</v>
      </c>
      <c r="G466" s="22"/>
      <c r="H466" s="23"/>
      <c r="I466" s="24"/>
      <c r="J466" s="33" t="str">
        <f t="shared" si="21"/>
        <v/>
      </c>
      <c r="K466" s="26">
        <v>251</v>
      </c>
      <c r="L466" s="27">
        <v>28.73</v>
      </c>
      <c r="M466" s="28">
        <v>0</v>
      </c>
      <c r="N466" s="27">
        <f t="shared" si="22"/>
        <v>28.73</v>
      </c>
      <c r="O466" s="29">
        <f t="shared" si="23"/>
        <v>172.38</v>
      </c>
    </row>
    <row r="467" spans="1:15" x14ac:dyDescent="0.25">
      <c r="A467" s="19">
        <v>453</v>
      </c>
      <c r="B467" s="19">
        <v>609041</v>
      </c>
      <c r="C467" s="20">
        <v>7897930750050</v>
      </c>
      <c r="D467" s="21" t="s">
        <v>554</v>
      </c>
      <c r="E467" s="21" t="s">
        <v>553</v>
      </c>
      <c r="F467" s="19">
        <v>1</v>
      </c>
      <c r="G467" s="22"/>
      <c r="H467" s="23"/>
      <c r="I467" s="24"/>
      <c r="J467" s="25" t="str">
        <f t="shared" si="21"/>
        <v/>
      </c>
      <c r="K467" s="34">
        <v>0</v>
      </c>
      <c r="L467" s="27">
        <v>0</v>
      </c>
      <c r="M467" s="28">
        <v>0</v>
      </c>
      <c r="N467" s="27">
        <f t="shared" si="22"/>
        <v>0</v>
      </c>
      <c r="O467" s="29">
        <f t="shared" si="23"/>
        <v>0</v>
      </c>
    </row>
    <row r="468" spans="1:15" x14ac:dyDescent="0.25">
      <c r="A468" s="30">
        <v>454</v>
      </c>
      <c r="B468" s="30">
        <v>28903</v>
      </c>
      <c r="C468" s="31">
        <v>7899706198004</v>
      </c>
      <c r="D468" s="32" t="s">
        <v>555</v>
      </c>
      <c r="E468" s="32" t="s">
        <v>63</v>
      </c>
      <c r="F468" s="30">
        <v>1</v>
      </c>
      <c r="G468" s="22"/>
      <c r="H468" s="23"/>
      <c r="I468" s="24"/>
      <c r="J468" s="33" t="str">
        <f t="shared" si="21"/>
        <v/>
      </c>
      <c r="K468" s="26">
        <v>22</v>
      </c>
      <c r="L468" s="27">
        <v>37.79</v>
      </c>
      <c r="M468" s="28">
        <v>0</v>
      </c>
      <c r="N468" s="27">
        <f t="shared" si="22"/>
        <v>37.79</v>
      </c>
      <c r="O468" s="29">
        <f t="shared" si="23"/>
        <v>37.79</v>
      </c>
    </row>
    <row r="469" spans="1:15" x14ac:dyDescent="0.25">
      <c r="A469" s="19">
        <v>455</v>
      </c>
      <c r="B469" s="19">
        <v>264581</v>
      </c>
      <c r="C469" s="20">
        <v>7894916512022</v>
      </c>
      <c r="D469" s="21" t="s">
        <v>556</v>
      </c>
      <c r="E469" s="21" t="s">
        <v>122</v>
      </c>
      <c r="F469" s="19">
        <v>3</v>
      </c>
      <c r="G469" s="22"/>
      <c r="H469" s="23"/>
      <c r="I469" s="24"/>
      <c r="J469" s="25" t="str">
        <f t="shared" si="21"/>
        <v/>
      </c>
      <c r="K469" s="26">
        <v>2122</v>
      </c>
      <c r="L469" s="27">
        <v>38.1</v>
      </c>
      <c r="M469" s="28">
        <v>0.02</v>
      </c>
      <c r="N469" s="27">
        <f t="shared" si="22"/>
        <v>37.338000000000001</v>
      </c>
      <c r="O469" s="29">
        <f t="shared" si="23"/>
        <v>112.01400000000001</v>
      </c>
    </row>
    <row r="470" spans="1:15" x14ac:dyDescent="0.25">
      <c r="A470" s="30">
        <v>456</v>
      </c>
      <c r="B470" s="30">
        <v>264541</v>
      </c>
      <c r="C470" s="31">
        <v>7894916512107</v>
      </c>
      <c r="D470" s="32" t="s">
        <v>557</v>
      </c>
      <c r="E470" s="32" t="s">
        <v>122</v>
      </c>
      <c r="F470" s="30">
        <v>6</v>
      </c>
      <c r="G470" s="22"/>
      <c r="H470" s="23"/>
      <c r="I470" s="24"/>
      <c r="J470" s="33" t="str">
        <f t="shared" si="21"/>
        <v/>
      </c>
      <c r="K470" s="26">
        <v>382</v>
      </c>
      <c r="L470" s="27">
        <v>24.62</v>
      </c>
      <c r="M470" s="28">
        <v>0.02</v>
      </c>
      <c r="N470" s="27">
        <f t="shared" si="22"/>
        <v>24.127600000000001</v>
      </c>
      <c r="O470" s="29">
        <f t="shared" si="23"/>
        <v>144.76560000000001</v>
      </c>
    </row>
    <row r="471" spans="1:15" x14ac:dyDescent="0.25">
      <c r="A471" s="19">
        <v>457</v>
      </c>
      <c r="B471" s="19">
        <v>670411</v>
      </c>
      <c r="C471" s="20">
        <v>7896090611928</v>
      </c>
      <c r="D471" s="21" t="s">
        <v>558</v>
      </c>
      <c r="E471" s="21" t="s">
        <v>559</v>
      </c>
      <c r="F471" s="19">
        <v>1</v>
      </c>
      <c r="G471" s="22"/>
      <c r="H471" s="23"/>
      <c r="I471" s="24"/>
      <c r="J471" s="25" t="str">
        <f t="shared" si="21"/>
        <v/>
      </c>
      <c r="K471" s="34">
        <v>0</v>
      </c>
      <c r="L471" s="27">
        <v>0</v>
      </c>
      <c r="M471" s="28">
        <v>0</v>
      </c>
      <c r="N471" s="27">
        <f t="shared" si="22"/>
        <v>0</v>
      </c>
      <c r="O471" s="29">
        <f t="shared" si="23"/>
        <v>0</v>
      </c>
    </row>
    <row r="472" spans="1:15" x14ac:dyDescent="0.25">
      <c r="A472" s="30">
        <v>458</v>
      </c>
      <c r="B472" s="30">
        <v>539641</v>
      </c>
      <c r="C472" s="31">
        <v>7896658012303</v>
      </c>
      <c r="D472" s="32" t="s">
        <v>560</v>
      </c>
      <c r="E472" s="32" t="s">
        <v>42</v>
      </c>
      <c r="F472" s="30">
        <v>2</v>
      </c>
      <c r="G472" s="22"/>
      <c r="H472" s="23"/>
      <c r="I472" s="24"/>
      <c r="J472" s="33" t="str">
        <f t="shared" si="21"/>
        <v/>
      </c>
      <c r="K472" s="26">
        <v>1488</v>
      </c>
      <c r="L472" s="27">
        <v>16.04</v>
      </c>
      <c r="M472" s="28">
        <v>0.02</v>
      </c>
      <c r="N472" s="27">
        <f t="shared" si="22"/>
        <v>15.719199999999999</v>
      </c>
      <c r="O472" s="29">
        <f t="shared" si="23"/>
        <v>31.438399999999998</v>
      </c>
    </row>
    <row r="473" spans="1:15" x14ac:dyDescent="0.25">
      <c r="A473" s="19">
        <v>459</v>
      </c>
      <c r="B473" s="19">
        <v>297921</v>
      </c>
      <c r="C473" s="20">
        <v>7898074617803</v>
      </c>
      <c r="D473" s="21" t="s">
        <v>561</v>
      </c>
      <c r="E473" s="21" t="s">
        <v>264</v>
      </c>
      <c r="F473" s="19">
        <v>1</v>
      </c>
      <c r="G473" s="22"/>
      <c r="H473" s="23"/>
      <c r="I473" s="24"/>
      <c r="J473" s="25" t="str">
        <f t="shared" si="21"/>
        <v/>
      </c>
      <c r="K473" s="26">
        <v>177</v>
      </c>
      <c r="L473" s="27">
        <v>42.59</v>
      </c>
      <c r="M473" s="28">
        <v>0.03</v>
      </c>
      <c r="N473" s="27">
        <f t="shared" si="22"/>
        <v>41.3123</v>
      </c>
      <c r="O473" s="29">
        <f t="shared" si="23"/>
        <v>41.3123</v>
      </c>
    </row>
    <row r="474" spans="1:15" x14ac:dyDescent="0.25">
      <c r="A474" s="30">
        <v>460</v>
      </c>
      <c r="B474" s="30">
        <v>654011</v>
      </c>
      <c r="C474" s="31">
        <v>7894916518819</v>
      </c>
      <c r="D474" s="32" t="s">
        <v>562</v>
      </c>
      <c r="E474" s="32" t="s">
        <v>122</v>
      </c>
      <c r="F474" s="30">
        <v>1</v>
      </c>
      <c r="G474" s="22"/>
      <c r="H474" s="23"/>
      <c r="I474" s="24"/>
      <c r="J474" s="33" t="str">
        <f t="shared" si="21"/>
        <v/>
      </c>
      <c r="K474" s="26">
        <v>123</v>
      </c>
      <c r="L474" s="27">
        <v>90.05</v>
      </c>
      <c r="M474" s="28">
        <v>0.02</v>
      </c>
      <c r="N474" s="27">
        <f t="shared" si="22"/>
        <v>88.248999999999995</v>
      </c>
      <c r="O474" s="29">
        <f t="shared" si="23"/>
        <v>88.248999999999995</v>
      </c>
    </row>
    <row r="475" spans="1:15" x14ac:dyDescent="0.25">
      <c r="A475" s="19">
        <v>461</v>
      </c>
      <c r="B475" s="19">
        <v>665971</v>
      </c>
      <c r="C475" s="20">
        <v>7896026172202</v>
      </c>
      <c r="D475" s="21" t="s">
        <v>563</v>
      </c>
      <c r="E475" s="21" t="s">
        <v>564</v>
      </c>
      <c r="F475" s="19">
        <v>1</v>
      </c>
      <c r="G475" s="22"/>
      <c r="H475" s="23"/>
      <c r="I475" s="24"/>
      <c r="J475" s="25" t="str">
        <f t="shared" si="21"/>
        <v/>
      </c>
      <c r="K475" s="26">
        <v>48</v>
      </c>
      <c r="L475" s="27">
        <v>56.67</v>
      </c>
      <c r="M475" s="28">
        <v>0.03</v>
      </c>
      <c r="N475" s="27">
        <f t="shared" si="22"/>
        <v>54.969900000000003</v>
      </c>
      <c r="O475" s="29">
        <f t="shared" si="23"/>
        <v>54.969900000000003</v>
      </c>
    </row>
    <row r="476" spans="1:15" x14ac:dyDescent="0.25">
      <c r="A476" s="30">
        <v>462</v>
      </c>
      <c r="B476" s="30">
        <v>413961</v>
      </c>
      <c r="C476" s="31">
        <v>7898040323141</v>
      </c>
      <c r="D476" s="32" t="s">
        <v>565</v>
      </c>
      <c r="E476" s="32" t="s">
        <v>26</v>
      </c>
      <c r="F476" s="30">
        <v>3</v>
      </c>
      <c r="G476" s="22"/>
      <c r="H476" s="23"/>
      <c r="I476" s="24"/>
      <c r="J476" s="33" t="str">
        <f t="shared" si="21"/>
        <v/>
      </c>
      <c r="K476" s="26">
        <v>994</v>
      </c>
      <c r="L476" s="27">
        <v>30.17</v>
      </c>
      <c r="M476" s="28">
        <v>0.03</v>
      </c>
      <c r="N476" s="27">
        <f t="shared" si="22"/>
        <v>29.264900000000001</v>
      </c>
      <c r="O476" s="29">
        <f t="shared" si="23"/>
        <v>87.794700000000006</v>
      </c>
    </row>
    <row r="477" spans="1:15" x14ac:dyDescent="0.25">
      <c r="A477" s="19">
        <v>463</v>
      </c>
      <c r="B477" s="19">
        <v>571421</v>
      </c>
      <c r="C477" s="20">
        <v>300651481198</v>
      </c>
      <c r="D477" s="21" t="s">
        <v>566</v>
      </c>
      <c r="E477" s="21" t="s">
        <v>174</v>
      </c>
      <c r="F477" s="19">
        <v>2</v>
      </c>
      <c r="G477" s="22"/>
      <c r="H477" s="23"/>
      <c r="I477" s="24"/>
      <c r="J477" s="25" t="str">
        <f t="shared" si="21"/>
        <v/>
      </c>
      <c r="K477" s="26">
        <v>0</v>
      </c>
      <c r="L477" s="27">
        <v>81.17</v>
      </c>
      <c r="M477" s="28">
        <v>0</v>
      </c>
      <c r="N477" s="27">
        <f t="shared" si="22"/>
        <v>81.17</v>
      </c>
      <c r="O477" s="29">
        <f t="shared" si="23"/>
        <v>162.34</v>
      </c>
    </row>
    <row r="478" spans="1:15" x14ac:dyDescent="0.25">
      <c r="A478" s="30">
        <v>464</v>
      </c>
      <c r="B478" s="30">
        <v>539601</v>
      </c>
      <c r="C478" s="31">
        <v>300652439259</v>
      </c>
      <c r="D478" s="32" t="s">
        <v>567</v>
      </c>
      <c r="E478" s="32" t="s">
        <v>174</v>
      </c>
      <c r="F478" s="30">
        <v>3</v>
      </c>
      <c r="G478" s="22"/>
      <c r="H478" s="23"/>
      <c r="I478" s="24"/>
      <c r="J478" s="33" t="str">
        <f t="shared" si="21"/>
        <v/>
      </c>
      <c r="K478" s="26">
        <v>2452</v>
      </c>
      <c r="L478" s="27">
        <v>59.52</v>
      </c>
      <c r="M478" s="28">
        <v>0</v>
      </c>
      <c r="N478" s="27">
        <f t="shared" si="22"/>
        <v>59.52</v>
      </c>
      <c r="O478" s="29">
        <f t="shared" si="23"/>
        <v>178.56</v>
      </c>
    </row>
    <row r="479" spans="1:15" x14ac:dyDescent="0.25">
      <c r="A479" s="30">
        <v>465</v>
      </c>
      <c r="B479" s="30">
        <v>539601</v>
      </c>
      <c r="C479" s="31">
        <v>7896548197738</v>
      </c>
      <c r="D479" s="32" t="s">
        <v>567</v>
      </c>
      <c r="E479" s="32" t="s">
        <v>174</v>
      </c>
      <c r="F479" s="30">
        <v>3</v>
      </c>
      <c r="G479" s="22"/>
      <c r="H479" s="23"/>
      <c r="I479" s="24"/>
      <c r="J479" s="33" t="str">
        <f t="shared" si="21"/>
        <v/>
      </c>
      <c r="K479" s="34">
        <v>0</v>
      </c>
      <c r="L479" s="27">
        <v>0</v>
      </c>
      <c r="M479" s="28">
        <v>0</v>
      </c>
      <c r="N479" s="27">
        <f t="shared" si="22"/>
        <v>0</v>
      </c>
      <c r="O479" s="29">
        <f t="shared" si="23"/>
        <v>0</v>
      </c>
    </row>
    <row r="480" spans="1:15" x14ac:dyDescent="0.25">
      <c r="A480" s="19">
        <v>466</v>
      </c>
      <c r="B480" s="19">
        <v>262121</v>
      </c>
      <c r="C480" s="20">
        <v>7891317465049</v>
      </c>
      <c r="D480" s="21" t="s">
        <v>568</v>
      </c>
      <c r="E480" s="21" t="s">
        <v>40</v>
      </c>
      <c r="F480" s="19">
        <v>7</v>
      </c>
      <c r="G480" s="22"/>
      <c r="H480" s="23"/>
      <c r="I480" s="24"/>
      <c r="J480" s="25" t="str">
        <f t="shared" si="21"/>
        <v/>
      </c>
      <c r="K480" s="26">
        <v>139</v>
      </c>
      <c r="L480" s="27">
        <v>30.22</v>
      </c>
      <c r="M480" s="28">
        <v>0.02</v>
      </c>
      <c r="N480" s="27">
        <f t="shared" si="22"/>
        <v>29.615600000000001</v>
      </c>
      <c r="O480" s="29">
        <f t="shared" si="23"/>
        <v>207.3092</v>
      </c>
    </row>
    <row r="481" spans="1:15" x14ac:dyDescent="0.25">
      <c r="A481" s="30">
        <v>467</v>
      </c>
      <c r="B481" s="30">
        <v>561041</v>
      </c>
      <c r="C481" s="31">
        <v>7891317009724</v>
      </c>
      <c r="D481" s="32" t="s">
        <v>569</v>
      </c>
      <c r="E481" s="32" t="s">
        <v>40</v>
      </c>
      <c r="F481" s="30">
        <v>2</v>
      </c>
      <c r="G481" s="22"/>
      <c r="H481" s="23"/>
      <c r="I481" s="24"/>
      <c r="J481" s="33" t="str">
        <f t="shared" si="21"/>
        <v/>
      </c>
      <c r="K481" s="26">
        <v>112</v>
      </c>
      <c r="L481" s="27">
        <v>71.849999999999994</v>
      </c>
      <c r="M481" s="28">
        <v>0.02</v>
      </c>
      <c r="N481" s="27">
        <f t="shared" si="22"/>
        <v>70.412999999999997</v>
      </c>
      <c r="O481" s="29">
        <f t="shared" si="23"/>
        <v>140.82599999999999</v>
      </c>
    </row>
    <row r="482" spans="1:15" x14ac:dyDescent="0.25">
      <c r="A482" s="19">
        <v>468</v>
      </c>
      <c r="B482" s="19">
        <v>572301</v>
      </c>
      <c r="C482" s="20">
        <v>7891317009755</v>
      </c>
      <c r="D482" s="21" t="s">
        <v>570</v>
      </c>
      <c r="E482" s="21" t="s">
        <v>40</v>
      </c>
      <c r="F482" s="19">
        <v>2</v>
      </c>
      <c r="G482" s="22"/>
      <c r="H482" s="23"/>
      <c r="I482" s="24"/>
      <c r="J482" s="25" t="str">
        <f t="shared" si="21"/>
        <v/>
      </c>
      <c r="K482" s="26">
        <v>58</v>
      </c>
      <c r="L482" s="27">
        <v>95.79</v>
      </c>
      <c r="M482" s="28">
        <v>0.02</v>
      </c>
      <c r="N482" s="27">
        <f t="shared" si="22"/>
        <v>93.874200000000002</v>
      </c>
      <c r="O482" s="29">
        <f t="shared" si="23"/>
        <v>187.7484</v>
      </c>
    </row>
    <row r="483" spans="1:15" x14ac:dyDescent="0.25">
      <c r="A483" s="19">
        <v>469</v>
      </c>
      <c r="B483" s="19">
        <v>572301</v>
      </c>
      <c r="C483" s="20">
        <v>7891317009748</v>
      </c>
      <c r="D483" s="21" t="s">
        <v>570</v>
      </c>
      <c r="E483" s="21" t="s">
        <v>40</v>
      </c>
      <c r="F483" s="19">
        <v>2</v>
      </c>
      <c r="G483" s="22"/>
      <c r="H483" s="23"/>
      <c r="I483" s="24"/>
      <c r="J483" s="25" t="str">
        <f t="shared" si="21"/>
        <v/>
      </c>
      <c r="K483" s="26">
        <v>55</v>
      </c>
      <c r="L483" s="27">
        <v>39.24</v>
      </c>
      <c r="M483" s="28">
        <v>0.02</v>
      </c>
      <c r="N483" s="27">
        <f t="shared" si="22"/>
        <v>38.455200000000005</v>
      </c>
      <c r="O483" s="29">
        <f t="shared" si="23"/>
        <v>76.91040000000001</v>
      </c>
    </row>
    <row r="484" spans="1:15" x14ac:dyDescent="0.25">
      <c r="A484" s="30">
        <v>470</v>
      </c>
      <c r="B484" s="30">
        <v>455901</v>
      </c>
      <c r="C484" s="31">
        <v>7896094206014</v>
      </c>
      <c r="D484" s="32" t="s">
        <v>571</v>
      </c>
      <c r="E484" s="32" t="s">
        <v>54</v>
      </c>
      <c r="F484" s="30">
        <v>1</v>
      </c>
      <c r="G484" s="22"/>
      <c r="H484" s="23"/>
      <c r="I484" s="24"/>
      <c r="J484" s="33" t="str">
        <f t="shared" si="21"/>
        <v/>
      </c>
      <c r="K484" s="26">
        <v>132</v>
      </c>
      <c r="L484" s="27">
        <v>78.89</v>
      </c>
      <c r="M484" s="28">
        <v>0.01</v>
      </c>
      <c r="N484" s="27">
        <f t="shared" si="22"/>
        <v>78.101100000000002</v>
      </c>
      <c r="O484" s="29">
        <f t="shared" si="23"/>
        <v>78.101100000000002</v>
      </c>
    </row>
    <row r="485" spans="1:15" x14ac:dyDescent="0.25">
      <c r="A485" s="19">
        <v>471</v>
      </c>
      <c r="B485" s="19">
        <v>572341</v>
      </c>
      <c r="C485" s="20">
        <v>7500435171090</v>
      </c>
      <c r="D485" s="21" t="s">
        <v>572</v>
      </c>
      <c r="E485" s="21" t="s">
        <v>222</v>
      </c>
      <c r="F485" s="19">
        <v>4</v>
      </c>
      <c r="G485" s="22"/>
      <c r="H485" s="23"/>
      <c r="I485" s="24"/>
      <c r="J485" s="25" t="str">
        <f t="shared" si="21"/>
        <v/>
      </c>
      <c r="K485" s="26">
        <v>2482</v>
      </c>
      <c r="L485" s="27">
        <v>49.58</v>
      </c>
      <c r="M485" s="28">
        <v>0</v>
      </c>
      <c r="N485" s="27">
        <f t="shared" si="22"/>
        <v>49.58</v>
      </c>
      <c r="O485" s="29">
        <f t="shared" si="23"/>
        <v>198.32</v>
      </c>
    </row>
    <row r="486" spans="1:15" x14ac:dyDescent="0.25">
      <c r="A486" s="30">
        <v>472</v>
      </c>
      <c r="B486" s="30">
        <v>416441</v>
      </c>
      <c r="C486" s="31">
        <v>7898906376410</v>
      </c>
      <c r="D486" s="32" t="s">
        <v>573</v>
      </c>
      <c r="E486" s="32" t="s">
        <v>574</v>
      </c>
      <c r="F486" s="30">
        <v>10</v>
      </c>
      <c r="G486" s="22"/>
      <c r="H486" s="23"/>
      <c r="I486" s="24"/>
      <c r="J486" s="33" t="str">
        <f t="shared" si="21"/>
        <v/>
      </c>
      <c r="K486" s="26">
        <v>549</v>
      </c>
      <c r="L486" s="27">
        <v>42.95</v>
      </c>
      <c r="M486" s="28">
        <v>0</v>
      </c>
      <c r="N486" s="27">
        <f t="shared" si="22"/>
        <v>42.95</v>
      </c>
      <c r="O486" s="29">
        <f t="shared" si="23"/>
        <v>429.5</v>
      </c>
    </row>
    <row r="487" spans="1:15" x14ac:dyDescent="0.25">
      <c r="A487" s="19">
        <v>473</v>
      </c>
      <c r="B487" s="19">
        <v>3153</v>
      </c>
      <c r="C487" s="20">
        <v>7898301056757</v>
      </c>
      <c r="D487" s="21" t="s">
        <v>575</v>
      </c>
      <c r="E487" s="21" t="s">
        <v>68</v>
      </c>
      <c r="F487" s="19">
        <v>5</v>
      </c>
      <c r="G487" s="22"/>
      <c r="H487" s="23"/>
      <c r="I487" s="24"/>
      <c r="J487" s="25" t="str">
        <f t="shared" si="21"/>
        <v/>
      </c>
      <c r="K487" s="34">
        <v>0</v>
      </c>
      <c r="L487" s="27">
        <v>0</v>
      </c>
      <c r="M487" s="28">
        <v>0</v>
      </c>
      <c r="N487" s="27">
        <f t="shared" si="22"/>
        <v>0</v>
      </c>
      <c r="O487" s="29">
        <f t="shared" si="23"/>
        <v>0</v>
      </c>
    </row>
    <row r="488" spans="1:15" x14ac:dyDescent="0.25">
      <c r="A488" s="30">
        <v>474</v>
      </c>
      <c r="B488" s="30">
        <v>3163</v>
      </c>
      <c r="C488" s="31">
        <v>7898301056740</v>
      </c>
      <c r="D488" s="32" t="s">
        <v>576</v>
      </c>
      <c r="E488" s="32" t="s">
        <v>68</v>
      </c>
      <c r="F488" s="30">
        <v>16</v>
      </c>
      <c r="G488" s="22"/>
      <c r="H488" s="23"/>
      <c r="I488" s="24"/>
      <c r="J488" s="33" t="str">
        <f t="shared" si="21"/>
        <v/>
      </c>
      <c r="K488" s="34">
        <v>0</v>
      </c>
      <c r="L488" s="27">
        <v>0</v>
      </c>
      <c r="M488" s="28">
        <v>0</v>
      </c>
      <c r="N488" s="27">
        <f t="shared" si="22"/>
        <v>0</v>
      </c>
      <c r="O488" s="29">
        <f t="shared" si="23"/>
        <v>0</v>
      </c>
    </row>
    <row r="489" spans="1:15" x14ac:dyDescent="0.25">
      <c r="A489" s="19">
        <v>475</v>
      </c>
      <c r="B489" s="19">
        <v>619341</v>
      </c>
      <c r="C489" s="20">
        <v>7898301059642</v>
      </c>
      <c r="D489" s="21" t="s">
        <v>577</v>
      </c>
      <c r="E489" s="21" t="s">
        <v>68</v>
      </c>
      <c r="F489" s="19">
        <v>4</v>
      </c>
      <c r="G489" s="22"/>
      <c r="H489" s="23"/>
      <c r="I489" s="24"/>
      <c r="J489" s="25" t="str">
        <f t="shared" si="21"/>
        <v/>
      </c>
      <c r="K489" s="34">
        <v>0</v>
      </c>
      <c r="L489" s="27">
        <v>0</v>
      </c>
      <c r="M489" s="28">
        <v>0</v>
      </c>
      <c r="N489" s="27">
        <f t="shared" si="22"/>
        <v>0</v>
      </c>
      <c r="O489" s="29">
        <f t="shared" si="23"/>
        <v>0</v>
      </c>
    </row>
    <row r="490" spans="1:15" x14ac:dyDescent="0.25">
      <c r="A490" s="30">
        <v>476</v>
      </c>
      <c r="B490" s="30">
        <v>464521</v>
      </c>
      <c r="C490" s="31">
        <v>7896548112717</v>
      </c>
      <c r="D490" s="32" t="s">
        <v>578</v>
      </c>
      <c r="E490" s="32" t="s">
        <v>72</v>
      </c>
      <c r="F490" s="30">
        <v>1</v>
      </c>
      <c r="G490" s="22"/>
      <c r="H490" s="23"/>
      <c r="I490" s="24"/>
      <c r="J490" s="33" t="str">
        <f t="shared" si="21"/>
        <v/>
      </c>
      <c r="K490" s="26">
        <v>522</v>
      </c>
      <c r="L490" s="27">
        <v>30.03</v>
      </c>
      <c r="M490" s="28">
        <v>0.04</v>
      </c>
      <c r="N490" s="27">
        <f t="shared" si="22"/>
        <v>28.828800000000001</v>
      </c>
      <c r="O490" s="29">
        <f t="shared" si="23"/>
        <v>28.828800000000001</v>
      </c>
    </row>
    <row r="491" spans="1:15" x14ac:dyDescent="0.25">
      <c r="A491" s="19">
        <v>477</v>
      </c>
      <c r="B491" s="19">
        <v>615421</v>
      </c>
      <c r="C491" s="20">
        <v>4005900889737</v>
      </c>
      <c r="D491" s="21" t="s">
        <v>579</v>
      </c>
      <c r="E491" s="21" t="s">
        <v>131</v>
      </c>
      <c r="F491" s="19">
        <v>1</v>
      </c>
      <c r="G491" s="22"/>
      <c r="H491" s="23"/>
      <c r="I491" s="24"/>
      <c r="J491" s="25" t="str">
        <f t="shared" si="21"/>
        <v/>
      </c>
      <c r="K491" s="34">
        <v>0</v>
      </c>
      <c r="L491" s="27">
        <v>0</v>
      </c>
      <c r="M491" s="28">
        <v>0</v>
      </c>
      <c r="N491" s="27">
        <f t="shared" si="22"/>
        <v>0</v>
      </c>
      <c r="O491" s="29">
        <f t="shared" si="23"/>
        <v>0</v>
      </c>
    </row>
    <row r="492" spans="1:15" x14ac:dyDescent="0.25">
      <c r="A492" s="30">
        <v>478</v>
      </c>
      <c r="B492" s="30">
        <v>596521</v>
      </c>
      <c r="C492" s="31">
        <v>7894916516006</v>
      </c>
      <c r="D492" s="32" t="s">
        <v>580</v>
      </c>
      <c r="E492" s="32" t="s">
        <v>122</v>
      </c>
      <c r="F492" s="30">
        <v>9</v>
      </c>
      <c r="G492" s="22"/>
      <c r="H492" s="23"/>
      <c r="I492" s="24"/>
      <c r="J492" s="33" t="str">
        <f t="shared" si="21"/>
        <v/>
      </c>
      <c r="K492" s="26">
        <v>942</v>
      </c>
      <c r="L492" s="27">
        <v>28.52</v>
      </c>
      <c r="M492" s="28">
        <v>0.02</v>
      </c>
      <c r="N492" s="27">
        <f t="shared" si="22"/>
        <v>27.9496</v>
      </c>
      <c r="O492" s="29">
        <f t="shared" si="23"/>
        <v>251.54640000000001</v>
      </c>
    </row>
    <row r="493" spans="1:15" x14ac:dyDescent="0.25">
      <c r="A493" s="19">
        <v>479</v>
      </c>
      <c r="B493" s="19">
        <v>632821</v>
      </c>
      <c r="C493" s="20">
        <v>7894916516013</v>
      </c>
      <c r="D493" s="21" t="s">
        <v>581</v>
      </c>
      <c r="E493" s="21" t="s">
        <v>122</v>
      </c>
      <c r="F493" s="19">
        <v>12</v>
      </c>
      <c r="G493" s="22"/>
      <c r="H493" s="23"/>
      <c r="I493" s="24"/>
      <c r="J493" s="25" t="str">
        <f t="shared" si="21"/>
        <v/>
      </c>
      <c r="K493" s="26">
        <v>184</v>
      </c>
      <c r="L493" s="27">
        <v>30.81</v>
      </c>
      <c r="M493" s="28">
        <v>0.02</v>
      </c>
      <c r="N493" s="27">
        <f t="shared" si="22"/>
        <v>30.1938</v>
      </c>
      <c r="O493" s="29">
        <f t="shared" si="23"/>
        <v>362.32560000000001</v>
      </c>
    </row>
    <row r="494" spans="1:15" x14ac:dyDescent="0.25">
      <c r="A494" s="30">
        <v>480</v>
      </c>
      <c r="B494" s="30">
        <v>505881</v>
      </c>
      <c r="C494" s="31">
        <v>7897460401668</v>
      </c>
      <c r="D494" s="32" t="s">
        <v>582</v>
      </c>
      <c r="E494" s="32" t="s">
        <v>545</v>
      </c>
      <c r="F494" s="30">
        <v>2</v>
      </c>
      <c r="G494" s="22"/>
      <c r="H494" s="23"/>
      <c r="I494" s="24"/>
      <c r="J494" s="33" t="str">
        <f t="shared" si="21"/>
        <v/>
      </c>
      <c r="K494" s="26">
        <v>1869</v>
      </c>
      <c r="L494" s="27">
        <v>65.930000000000007</v>
      </c>
      <c r="M494" s="28">
        <v>0.02</v>
      </c>
      <c r="N494" s="27">
        <f t="shared" si="22"/>
        <v>64.611400000000003</v>
      </c>
      <c r="O494" s="29">
        <f t="shared" si="23"/>
        <v>129.22280000000001</v>
      </c>
    </row>
    <row r="495" spans="1:15" x14ac:dyDescent="0.25">
      <c r="A495" s="19">
        <v>481</v>
      </c>
      <c r="B495" s="19">
        <v>207441</v>
      </c>
      <c r="C495" s="20">
        <v>7896226102504</v>
      </c>
      <c r="D495" s="21" t="s">
        <v>583</v>
      </c>
      <c r="E495" s="21" t="s">
        <v>584</v>
      </c>
      <c r="F495" s="19">
        <v>6</v>
      </c>
      <c r="G495" s="22"/>
      <c r="H495" s="23"/>
      <c r="I495" s="24"/>
      <c r="J495" s="25" t="str">
        <f t="shared" si="21"/>
        <v/>
      </c>
      <c r="K495" s="26">
        <v>1054</v>
      </c>
      <c r="L495" s="27">
        <v>77.06</v>
      </c>
      <c r="M495" s="28">
        <v>0.03</v>
      </c>
      <c r="N495" s="27">
        <f t="shared" si="22"/>
        <v>74.748199999999997</v>
      </c>
      <c r="O495" s="29">
        <f t="shared" si="23"/>
        <v>448.48919999999998</v>
      </c>
    </row>
    <row r="496" spans="1:15" x14ac:dyDescent="0.25">
      <c r="A496" s="30">
        <v>482</v>
      </c>
      <c r="B496" s="30">
        <v>609051</v>
      </c>
      <c r="C496" s="31">
        <v>7891317025564</v>
      </c>
      <c r="D496" s="32" t="s">
        <v>585</v>
      </c>
      <c r="E496" s="32" t="s">
        <v>40</v>
      </c>
      <c r="F496" s="30">
        <v>2</v>
      </c>
      <c r="G496" s="22"/>
      <c r="H496" s="23"/>
      <c r="I496" s="24"/>
      <c r="J496" s="33" t="str">
        <f t="shared" si="21"/>
        <v/>
      </c>
      <c r="K496" s="26">
        <v>255</v>
      </c>
      <c r="L496" s="27">
        <v>15.96</v>
      </c>
      <c r="M496" s="28">
        <v>0.02</v>
      </c>
      <c r="N496" s="27">
        <f t="shared" si="22"/>
        <v>15.6408</v>
      </c>
      <c r="O496" s="29">
        <f t="shared" si="23"/>
        <v>31.281600000000001</v>
      </c>
    </row>
    <row r="497" spans="1:15" x14ac:dyDescent="0.25">
      <c r="A497" s="19">
        <v>483</v>
      </c>
      <c r="B497" s="19">
        <v>613001</v>
      </c>
      <c r="C497" s="20">
        <v>7891317025571</v>
      </c>
      <c r="D497" s="21" t="s">
        <v>586</v>
      </c>
      <c r="E497" s="21" t="s">
        <v>40</v>
      </c>
      <c r="F497" s="19">
        <v>3</v>
      </c>
      <c r="G497" s="22"/>
      <c r="H497" s="23"/>
      <c r="I497" s="24"/>
      <c r="J497" s="25" t="str">
        <f t="shared" si="21"/>
        <v/>
      </c>
      <c r="K497" s="26">
        <v>213</v>
      </c>
      <c r="L497" s="27">
        <v>31.75</v>
      </c>
      <c r="M497" s="28">
        <v>0.02</v>
      </c>
      <c r="N497" s="27">
        <f t="shared" si="22"/>
        <v>31.114999999999998</v>
      </c>
      <c r="O497" s="29">
        <f t="shared" si="23"/>
        <v>93.344999999999999</v>
      </c>
    </row>
    <row r="498" spans="1:15" x14ac:dyDescent="0.25">
      <c r="A498" s="30">
        <v>484</v>
      </c>
      <c r="B498" s="30">
        <v>640321</v>
      </c>
      <c r="C498" s="31">
        <v>7891317025533</v>
      </c>
      <c r="D498" s="32" t="s">
        <v>587</v>
      </c>
      <c r="E498" s="32" t="s">
        <v>40</v>
      </c>
      <c r="F498" s="30">
        <v>1</v>
      </c>
      <c r="G498" s="22"/>
      <c r="H498" s="23"/>
      <c r="I498" s="24"/>
      <c r="J498" s="33" t="str">
        <f t="shared" si="21"/>
        <v/>
      </c>
      <c r="K498" s="26">
        <v>95</v>
      </c>
      <c r="L498" s="27">
        <v>15.51</v>
      </c>
      <c r="M498" s="28">
        <v>0.02</v>
      </c>
      <c r="N498" s="27">
        <f t="shared" si="22"/>
        <v>15.1998</v>
      </c>
      <c r="O498" s="29">
        <f t="shared" si="23"/>
        <v>15.1998</v>
      </c>
    </row>
    <row r="499" spans="1:15" x14ac:dyDescent="0.25">
      <c r="A499" s="19">
        <v>485</v>
      </c>
      <c r="B499" s="19">
        <v>451961</v>
      </c>
      <c r="C499" s="20">
        <v>7891317412555</v>
      </c>
      <c r="D499" s="21" t="s">
        <v>588</v>
      </c>
      <c r="E499" s="21" t="s">
        <v>40</v>
      </c>
      <c r="F499" s="19">
        <v>2</v>
      </c>
      <c r="G499" s="22"/>
      <c r="H499" s="23"/>
      <c r="I499" s="24"/>
      <c r="J499" s="25" t="str">
        <f t="shared" si="21"/>
        <v/>
      </c>
      <c r="K499" s="26">
        <v>660</v>
      </c>
      <c r="L499" s="27">
        <v>16.329999999999998</v>
      </c>
      <c r="M499" s="28">
        <v>0.02</v>
      </c>
      <c r="N499" s="27">
        <f t="shared" si="22"/>
        <v>16.003399999999999</v>
      </c>
      <c r="O499" s="29">
        <f t="shared" si="23"/>
        <v>32.006799999999998</v>
      </c>
    </row>
    <row r="500" spans="1:15" x14ac:dyDescent="0.25">
      <c r="A500" s="30">
        <v>486</v>
      </c>
      <c r="B500" s="30">
        <v>70821</v>
      </c>
      <c r="C500" s="31">
        <v>7894916208154</v>
      </c>
      <c r="D500" s="32" t="s">
        <v>589</v>
      </c>
      <c r="E500" s="32" t="s">
        <v>122</v>
      </c>
      <c r="F500" s="30">
        <v>15</v>
      </c>
      <c r="G500" s="22"/>
      <c r="H500" s="23"/>
      <c r="I500" s="24"/>
      <c r="J500" s="33" t="str">
        <f t="shared" si="21"/>
        <v/>
      </c>
      <c r="K500" s="26">
        <v>1121</v>
      </c>
      <c r="L500" s="27">
        <v>20.8</v>
      </c>
      <c r="M500" s="28">
        <v>0.02</v>
      </c>
      <c r="N500" s="27">
        <f t="shared" si="22"/>
        <v>20.384</v>
      </c>
      <c r="O500" s="29">
        <f t="shared" si="23"/>
        <v>305.76</v>
      </c>
    </row>
    <row r="501" spans="1:15" x14ac:dyDescent="0.25">
      <c r="A501" s="19">
        <v>487</v>
      </c>
      <c r="B501" s="19">
        <v>395721</v>
      </c>
      <c r="C501" s="20">
        <v>7891010255947</v>
      </c>
      <c r="D501" s="21" t="s">
        <v>590</v>
      </c>
      <c r="E501" s="21" t="s">
        <v>394</v>
      </c>
      <c r="F501" s="19">
        <v>1</v>
      </c>
      <c r="G501" s="22"/>
      <c r="H501" s="23"/>
      <c r="I501" s="24"/>
      <c r="J501" s="25" t="str">
        <f t="shared" si="21"/>
        <v/>
      </c>
      <c r="K501" s="26">
        <v>309</v>
      </c>
      <c r="L501" s="27">
        <v>36.49</v>
      </c>
      <c r="M501" s="28">
        <v>0</v>
      </c>
      <c r="N501" s="27">
        <f t="shared" si="22"/>
        <v>36.49</v>
      </c>
      <c r="O501" s="29">
        <f t="shared" si="23"/>
        <v>36.49</v>
      </c>
    </row>
    <row r="502" spans="1:15" x14ac:dyDescent="0.25">
      <c r="A502" s="30">
        <v>488</v>
      </c>
      <c r="B502" s="30">
        <v>395741</v>
      </c>
      <c r="C502" s="31">
        <v>7891010255909</v>
      </c>
      <c r="D502" s="32" t="s">
        <v>591</v>
      </c>
      <c r="E502" s="32" t="s">
        <v>394</v>
      </c>
      <c r="F502" s="30">
        <v>2</v>
      </c>
      <c r="G502" s="22"/>
      <c r="H502" s="23"/>
      <c r="I502" s="24"/>
      <c r="J502" s="33" t="str">
        <f t="shared" si="21"/>
        <v/>
      </c>
      <c r="K502" s="26">
        <v>861</v>
      </c>
      <c r="L502" s="27">
        <v>49.56</v>
      </c>
      <c r="M502" s="28">
        <v>0</v>
      </c>
      <c r="N502" s="27">
        <f t="shared" si="22"/>
        <v>49.56</v>
      </c>
      <c r="O502" s="29">
        <f t="shared" si="23"/>
        <v>99.12</v>
      </c>
    </row>
    <row r="503" spans="1:15" x14ac:dyDescent="0.25">
      <c r="A503" s="19">
        <v>489</v>
      </c>
      <c r="B503" s="19">
        <v>398541</v>
      </c>
      <c r="C503" s="20">
        <v>7891010256968</v>
      </c>
      <c r="D503" s="21" t="s">
        <v>592</v>
      </c>
      <c r="E503" s="21" t="s">
        <v>99</v>
      </c>
      <c r="F503" s="19">
        <v>3</v>
      </c>
      <c r="G503" s="22"/>
      <c r="H503" s="23"/>
      <c r="I503" s="24"/>
      <c r="J503" s="25" t="str">
        <f t="shared" si="21"/>
        <v/>
      </c>
      <c r="K503" s="26">
        <v>1153</v>
      </c>
      <c r="L503" s="27">
        <v>18.71</v>
      </c>
      <c r="M503" s="28">
        <v>0</v>
      </c>
      <c r="N503" s="27">
        <f t="shared" si="22"/>
        <v>18.71</v>
      </c>
      <c r="O503" s="29">
        <f t="shared" si="23"/>
        <v>56.13</v>
      </c>
    </row>
    <row r="504" spans="1:15" x14ac:dyDescent="0.25">
      <c r="A504" s="30">
        <v>490</v>
      </c>
      <c r="B504" s="30">
        <v>398581</v>
      </c>
      <c r="C504" s="31">
        <v>7891010246952</v>
      </c>
      <c r="D504" s="32" t="s">
        <v>593</v>
      </c>
      <c r="E504" s="32" t="s">
        <v>394</v>
      </c>
      <c r="F504" s="30">
        <v>4</v>
      </c>
      <c r="G504" s="22"/>
      <c r="H504" s="23"/>
      <c r="I504" s="24"/>
      <c r="J504" s="33" t="str">
        <f t="shared" si="21"/>
        <v/>
      </c>
      <c r="K504" s="26">
        <v>311</v>
      </c>
      <c r="L504" s="27">
        <v>28.04</v>
      </c>
      <c r="M504" s="28">
        <v>0</v>
      </c>
      <c r="N504" s="27">
        <f t="shared" si="22"/>
        <v>28.04</v>
      </c>
      <c r="O504" s="29">
        <f t="shared" si="23"/>
        <v>112.16</v>
      </c>
    </row>
    <row r="505" spans="1:15" x14ac:dyDescent="0.25">
      <c r="A505" s="19">
        <v>491</v>
      </c>
      <c r="B505" s="19">
        <v>654341</v>
      </c>
      <c r="C505" s="20">
        <v>7891653014277</v>
      </c>
      <c r="D505" s="21" t="s">
        <v>594</v>
      </c>
      <c r="E505" s="21"/>
      <c r="F505" s="19">
        <v>1</v>
      </c>
      <c r="G505" s="22"/>
      <c r="H505" s="23"/>
      <c r="I505" s="24"/>
      <c r="J505" s="25" t="str">
        <f t="shared" si="21"/>
        <v/>
      </c>
      <c r="K505" s="26">
        <v>115</v>
      </c>
      <c r="L505" s="27">
        <v>25.77</v>
      </c>
      <c r="M505" s="28">
        <v>0</v>
      </c>
      <c r="N505" s="27">
        <f t="shared" si="22"/>
        <v>25.77</v>
      </c>
      <c r="O505" s="29">
        <f t="shared" si="23"/>
        <v>25.77</v>
      </c>
    </row>
    <row r="506" spans="1:15" x14ac:dyDescent="0.25">
      <c r="A506" s="30">
        <v>492</v>
      </c>
      <c r="B506" s="30">
        <v>33303</v>
      </c>
      <c r="C506" s="31">
        <v>7891137003421</v>
      </c>
      <c r="D506" s="32" t="s">
        <v>595</v>
      </c>
      <c r="E506" s="32" t="s">
        <v>446</v>
      </c>
      <c r="F506" s="30">
        <v>12</v>
      </c>
      <c r="G506" s="22"/>
      <c r="H506" s="23"/>
      <c r="I506" s="24"/>
      <c r="J506" s="33" t="str">
        <f t="shared" si="21"/>
        <v/>
      </c>
      <c r="K506" s="26">
        <v>442</v>
      </c>
      <c r="L506" s="27">
        <v>146.12</v>
      </c>
      <c r="M506" s="28">
        <v>0.02</v>
      </c>
      <c r="N506" s="27">
        <f t="shared" si="22"/>
        <v>143.19759999999999</v>
      </c>
      <c r="O506" s="29">
        <f t="shared" si="23"/>
        <v>1718.3712</v>
      </c>
    </row>
    <row r="507" spans="1:15" x14ac:dyDescent="0.25">
      <c r="A507" s="30">
        <v>493</v>
      </c>
      <c r="B507" s="30">
        <v>33303</v>
      </c>
      <c r="C507" s="31">
        <v>78915398</v>
      </c>
      <c r="D507" s="32" t="s">
        <v>595</v>
      </c>
      <c r="E507" s="32" t="s">
        <v>446</v>
      </c>
      <c r="F507" s="30">
        <v>12</v>
      </c>
      <c r="G507" s="22"/>
      <c r="H507" s="23"/>
      <c r="I507" s="24"/>
      <c r="J507" s="33" t="str">
        <f t="shared" si="21"/>
        <v/>
      </c>
      <c r="K507" s="34">
        <v>0</v>
      </c>
      <c r="L507" s="27">
        <v>0</v>
      </c>
      <c r="M507" s="28">
        <v>0</v>
      </c>
      <c r="N507" s="27">
        <f t="shared" si="22"/>
        <v>0</v>
      </c>
      <c r="O507" s="29">
        <f t="shared" si="23"/>
        <v>0</v>
      </c>
    </row>
    <row r="508" spans="1:15" x14ac:dyDescent="0.25">
      <c r="A508" s="19">
        <v>494</v>
      </c>
      <c r="B508" s="19">
        <v>20901</v>
      </c>
      <c r="C508" s="20">
        <v>7898040328535</v>
      </c>
      <c r="D508" s="21" t="s">
        <v>596</v>
      </c>
      <c r="E508" s="21" t="s">
        <v>140</v>
      </c>
      <c r="F508" s="19">
        <v>1</v>
      </c>
      <c r="G508" s="22"/>
      <c r="H508" s="23"/>
      <c r="I508" s="24"/>
      <c r="J508" s="25" t="str">
        <f t="shared" si="21"/>
        <v/>
      </c>
      <c r="K508" s="26">
        <v>280</v>
      </c>
      <c r="L508" s="27">
        <v>49.31</v>
      </c>
      <c r="M508" s="28">
        <v>0.04</v>
      </c>
      <c r="N508" s="27">
        <f t="shared" si="22"/>
        <v>47.337600000000002</v>
      </c>
      <c r="O508" s="29">
        <f t="shared" si="23"/>
        <v>47.337600000000002</v>
      </c>
    </row>
    <row r="509" spans="1:15" x14ac:dyDescent="0.25">
      <c r="A509" s="30">
        <v>495</v>
      </c>
      <c r="B509" s="30">
        <v>476781</v>
      </c>
      <c r="C509" s="31">
        <v>7896658024993</v>
      </c>
      <c r="D509" s="32" t="s">
        <v>597</v>
      </c>
      <c r="E509" s="32" t="s">
        <v>42</v>
      </c>
      <c r="F509" s="30">
        <v>1</v>
      </c>
      <c r="G509" s="22"/>
      <c r="H509" s="23"/>
      <c r="I509" s="24"/>
      <c r="J509" s="33" t="str">
        <f t="shared" si="21"/>
        <v/>
      </c>
      <c r="K509" s="26">
        <v>51</v>
      </c>
      <c r="L509" s="27">
        <v>79.95</v>
      </c>
      <c r="M509" s="28">
        <v>0.02</v>
      </c>
      <c r="N509" s="27">
        <f t="shared" si="22"/>
        <v>78.350999999999999</v>
      </c>
      <c r="O509" s="29">
        <f t="shared" si="23"/>
        <v>78.350999999999999</v>
      </c>
    </row>
    <row r="510" spans="1:15" x14ac:dyDescent="0.25">
      <c r="A510" s="19">
        <v>496</v>
      </c>
      <c r="B510" s="19">
        <v>653891</v>
      </c>
      <c r="C510" s="20">
        <v>7896658048203</v>
      </c>
      <c r="D510" s="21" t="s">
        <v>598</v>
      </c>
      <c r="E510" s="21" t="s">
        <v>42</v>
      </c>
      <c r="F510" s="19">
        <v>1</v>
      </c>
      <c r="G510" s="22"/>
      <c r="H510" s="23"/>
      <c r="I510" s="24"/>
      <c r="J510" s="25" t="str">
        <f t="shared" si="21"/>
        <v/>
      </c>
      <c r="K510" s="26">
        <v>1</v>
      </c>
      <c r="L510" s="27">
        <v>52.26</v>
      </c>
      <c r="M510" s="28">
        <v>0.02</v>
      </c>
      <c r="N510" s="27">
        <f t="shared" si="22"/>
        <v>51.214799999999997</v>
      </c>
      <c r="O510" s="29">
        <f t="shared" si="23"/>
        <v>51.214799999999997</v>
      </c>
    </row>
    <row r="511" spans="1:15" x14ac:dyDescent="0.25">
      <c r="A511" s="30">
        <v>497</v>
      </c>
      <c r="B511" s="30">
        <v>615331</v>
      </c>
      <c r="C511" s="31">
        <v>4005808881512</v>
      </c>
      <c r="D511" s="32" t="s">
        <v>599</v>
      </c>
      <c r="E511" s="32" t="s">
        <v>131</v>
      </c>
      <c r="F511" s="30">
        <v>1</v>
      </c>
      <c r="G511" s="22"/>
      <c r="H511" s="23"/>
      <c r="I511" s="24"/>
      <c r="J511" s="33" t="str">
        <f t="shared" si="21"/>
        <v/>
      </c>
      <c r="K511" s="34">
        <v>0</v>
      </c>
      <c r="L511" s="27">
        <v>0</v>
      </c>
      <c r="M511" s="28">
        <v>0</v>
      </c>
      <c r="N511" s="27">
        <f t="shared" si="22"/>
        <v>0</v>
      </c>
      <c r="O511" s="29">
        <f t="shared" si="23"/>
        <v>0</v>
      </c>
    </row>
    <row r="512" spans="1:15" x14ac:dyDescent="0.25">
      <c r="A512" s="19">
        <v>498</v>
      </c>
      <c r="B512" s="19">
        <v>612521</v>
      </c>
      <c r="C512" s="20">
        <v>7891317011390</v>
      </c>
      <c r="D512" s="21" t="s">
        <v>600</v>
      </c>
      <c r="E512" s="21" t="s">
        <v>40</v>
      </c>
      <c r="F512" s="19">
        <v>1</v>
      </c>
      <c r="G512" s="22"/>
      <c r="H512" s="23"/>
      <c r="I512" s="24"/>
      <c r="J512" s="25" t="str">
        <f t="shared" si="21"/>
        <v/>
      </c>
      <c r="K512" s="34">
        <v>0</v>
      </c>
      <c r="L512" s="27">
        <v>0</v>
      </c>
      <c r="M512" s="28">
        <v>0</v>
      </c>
      <c r="N512" s="27">
        <f t="shared" si="22"/>
        <v>0</v>
      </c>
      <c r="O512" s="29">
        <f t="shared" si="23"/>
        <v>0</v>
      </c>
    </row>
    <row r="513" spans="1:15" x14ac:dyDescent="0.25">
      <c r="A513" s="30">
        <v>499</v>
      </c>
      <c r="B513" s="30">
        <v>319361</v>
      </c>
      <c r="C513" s="31">
        <v>7891045008440</v>
      </c>
      <c r="D513" s="32" t="s">
        <v>601</v>
      </c>
      <c r="E513" s="32" t="s">
        <v>214</v>
      </c>
      <c r="F513" s="30">
        <v>1</v>
      </c>
      <c r="G513" s="22"/>
      <c r="H513" s="23"/>
      <c r="I513" s="24"/>
      <c r="J513" s="33" t="str">
        <f t="shared" si="21"/>
        <v/>
      </c>
      <c r="K513" s="26">
        <v>0</v>
      </c>
      <c r="L513" s="27">
        <v>29.15</v>
      </c>
      <c r="M513" s="28">
        <v>0</v>
      </c>
      <c r="N513" s="27">
        <f t="shared" si="22"/>
        <v>29.15</v>
      </c>
      <c r="O513" s="29">
        <f t="shared" si="23"/>
        <v>29.15</v>
      </c>
    </row>
    <row r="514" spans="1:15" x14ac:dyDescent="0.25">
      <c r="A514" s="19">
        <v>500</v>
      </c>
      <c r="B514" s="19">
        <v>344301</v>
      </c>
      <c r="C514" s="20">
        <v>7896641808777</v>
      </c>
      <c r="D514" s="21" t="s">
        <v>602</v>
      </c>
      <c r="E514" s="21" t="s">
        <v>224</v>
      </c>
      <c r="F514" s="19">
        <v>1</v>
      </c>
      <c r="G514" s="22"/>
      <c r="H514" s="23"/>
      <c r="I514" s="24"/>
      <c r="J514" s="25" t="str">
        <f t="shared" si="21"/>
        <v/>
      </c>
      <c r="K514" s="34">
        <v>0</v>
      </c>
      <c r="L514" s="27">
        <v>0</v>
      </c>
      <c r="M514" s="28">
        <v>0</v>
      </c>
      <c r="N514" s="27">
        <f t="shared" si="22"/>
        <v>0</v>
      </c>
      <c r="O514" s="29">
        <f t="shared" si="23"/>
        <v>0</v>
      </c>
    </row>
    <row r="515" spans="1:15" x14ac:dyDescent="0.25">
      <c r="A515" s="30">
        <v>501</v>
      </c>
      <c r="B515" s="30">
        <v>608981</v>
      </c>
      <c r="C515" s="31">
        <v>7891317010386</v>
      </c>
      <c r="D515" s="32" t="s">
        <v>603</v>
      </c>
      <c r="E515" s="32" t="s">
        <v>40</v>
      </c>
      <c r="F515" s="30">
        <v>1</v>
      </c>
      <c r="G515" s="22"/>
      <c r="H515" s="23"/>
      <c r="I515" s="24"/>
      <c r="J515" s="33" t="str">
        <f t="shared" si="21"/>
        <v/>
      </c>
      <c r="K515" s="26">
        <v>84</v>
      </c>
      <c r="L515" s="27">
        <v>54</v>
      </c>
      <c r="M515" s="28">
        <v>0.02</v>
      </c>
      <c r="N515" s="27">
        <f t="shared" si="22"/>
        <v>52.92</v>
      </c>
      <c r="O515" s="29">
        <f t="shared" si="23"/>
        <v>52.92</v>
      </c>
    </row>
    <row r="516" spans="1:15" x14ac:dyDescent="0.25">
      <c r="A516" s="19">
        <v>502</v>
      </c>
      <c r="B516" s="19">
        <v>612541</v>
      </c>
      <c r="C516" s="20">
        <v>7891317010379</v>
      </c>
      <c r="D516" s="21" t="s">
        <v>604</v>
      </c>
      <c r="E516" s="21" t="s">
        <v>40</v>
      </c>
      <c r="F516" s="19">
        <v>1</v>
      </c>
      <c r="G516" s="22"/>
      <c r="H516" s="23"/>
      <c r="I516" s="24"/>
      <c r="J516" s="25" t="str">
        <f t="shared" si="21"/>
        <v/>
      </c>
      <c r="K516" s="26">
        <v>42</v>
      </c>
      <c r="L516" s="27">
        <v>36.47</v>
      </c>
      <c r="M516" s="28">
        <v>0.02</v>
      </c>
      <c r="N516" s="27">
        <f t="shared" si="22"/>
        <v>35.740600000000001</v>
      </c>
      <c r="O516" s="29">
        <f t="shared" si="23"/>
        <v>35.740600000000001</v>
      </c>
    </row>
    <row r="517" spans="1:15" x14ac:dyDescent="0.25">
      <c r="A517" s="30">
        <v>503</v>
      </c>
      <c r="B517" s="30">
        <v>73361</v>
      </c>
      <c r="C517" s="31">
        <v>7896094206502</v>
      </c>
      <c r="D517" s="32" t="s">
        <v>605</v>
      </c>
      <c r="E517" s="32" t="s">
        <v>54</v>
      </c>
      <c r="F517" s="30">
        <v>1</v>
      </c>
      <c r="G517" s="22"/>
      <c r="H517" s="23"/>
      <c r="I517" s="24"/>
      <c r="J517" s="33" t="str">
        <f t="shared" si="21"/>
        <v/>
      </c>
      <c r="K517" s="26">
        <v>303</v>
      </c>
      <c r="L517" s="27">
        <v>70.66</v>
      </c>
      <c r="M517" s="28">
        <v>0.01</v>
      </c>
      <c r="N517" s="27">
        <f t="shared" si="22"/>
        <v>69.953400000000002</v>
      </c>
      <c r="O517" s="29">
        <f t="shared" si="23"/>
        <v>69.953400000000002</v>
      </c>
    </row>
    <row r="518" spans="1:15" x14ac:dyDescent="0.25">
      <c r="A518" s="19">
        <v>504</v>
      </c>
      <c r="B518" s="19">
        <v>285781</v>
      </c>
      <c r="C518" s="20">
        <v>7896094206410</v>
      </c>
      <c r="D518" s="21" t="s">
        <v>606</v>
      </c>
      <c r="E518" s="21" t="s">
        <v>54</v>
      </c>
      <c r="F518" s="19">
        <v>1</v>
      </c>
      <c r="G518" s="22"/>
      <c r="H518" s="23"/>
      <c r="I518" s="24"/>
      <c r="J518" s="25" t="str">
        <f t="shared" si="21"/>
        <v/>
      </c>
      <c r="K518" s="26">
        <v>686</v>
      </c>
      <c r="L518" s="27">
        <v>73.069999999999993</v>
      </c>
      <c r="M518" s="28">
        <v>0.01</v>
      </c>
      <c r="N518" s="27">
        <f t="shared" si="22"/>
        <v>72.339299999999994</v>
      </c>
      <c r="O518" s="29">
        <f t="shared" si="23"/>
        <v>72.339299999999994</v>
      </c>
    </row>
    <row r="519" spans="1:15" x14ac:dyDescent="0.25">
      <c r="A519" s="30">
        <v>505</v>
      </c>
      <c r="B519" s="30">
        <v>285761</v>
      </c>
      <c r="C519" s="31">
        <v>7896094206403</v>
      </c>
      <c r="D519" s="32" t="s">
        <v>607</v>
      </c>
      <c r="E519" s="32" t="s">
        <v>54</v>
      </c>
      <c r="F519" s="30">
        <v>2</v>
      </c>
      <c r="G519" s="22"/>
      <c r="H519" s="23"/>
      <c r="I519" s="24"/>
      <c r="J519" s="33" t="str">
        <f t="shared" si="21"/>
        <v/>
      </c>
      <c r="K519" s="26">
        <v>251</v>
      </c>
      <c r="L519" s="27">
        <v>73.069999999999993</v>
      </c>
      <c r="M519" s="28">
        <v>0.01</v>
      </c>
      <c r="N519" s="27">
        <f t="shared" si="22"/>
        <v>72.339299999999994</v>
      </c>
      <c r="O519" s="29">
        <f t="shared" si="23"/>
        <v>144.67859999999999</v>
      </c>
    </row>
    <row r="520" spans="1:15" x14ac:dyDescent="0.25">
      <c r="A520" s="19">
        <v>506</v>
      </c>
      <c r="B520" s="19">
        <v>16701</v>
      </c>
      <c r="C520" s="20">
        <v>7898109240273</v>
      </c>
      <c r="D520" s="21" t="s">
        <v>608</v>
      </c>
      <c r="E520" s="21" t="s">
        <v>609</v>
      </c>
      <c r="F520" s="19">
        <v>4</v>
      </c>
      <c r="G520" s="22"/>
      <c r="H520" s="23"/>
      <c r="I520" s="24"/>
      <c r="J520" s="25" t="str">
        <f t="shared" si="21"/>
        <v/>
      </c>
      <c r="K520" s="26">
        <v>0</v>
      </c>
      <c r="L520" s="27">
        <v>32.28</v>
      </c>
      <c r="M520" s="28">
        <v>0.03</v>
      </c>
      <c r="N520" s="27">
        <f t="shared" si="22"/>
        <v>31.311600000000002</v>
      </c>
      <c r="O520" s="29">
        <f t="shared" si="23"/>
        <v>125.24640000000001</v>
      </c>
    </row>
    <row r="521" spans="1:15" x14ac:dyDescent="0.25">
      <c r="A521" s="30">
        <v>507</v>
      </c>
      <c r="B521" s="30">
        <v>16721</v>
      </c>
      <c r="C521" s="31">
        <v>7898109240532</v>
      </c>
      <c r="D521" s="32" t="s">
        <v>610</v>
      </c>
      <c r="E521" s="32" t="s">
        <v>609</v>
      </c>
      <c r="F521" s="30">
        <v>8</v>
      </c>
      <c r="G521" s="22"/>
      <c r="H521" s="23"/>
      <c r="I521" s="24"/>
      <c r="J521" s="33" t="str">
        <f t="shared" si="21"/>
        <v/>
      </c>
      <c r="K521" s="26">
        <v>3367</v>
      </c>
      <c r="L521" s="27">
        <v>59.91</v>
      </c>
      <c r="M521" s="28">
        <v>0.03</v>
      </c>
      <c r="N521" s="27">
        <f t="shared" si="22"/>
        <v>58.112699999999997</v>
      </c>
      <c r="O521" s="29">
        <f t="shared" si="23"/>
        <v>464.90159999999997</v>
      </c>
    </row>
    <row r="522" spans="1:15" x14ac:dyDescent="0.25">
      <c r="A522" s="19">
        <v>508</v>
      </c>
      <c r="B522" s="19">
        <v>993</v>
      </c>
      <c r="C522" s="20">
        <v>75075644</v>
      </c>
      <c r="D522" s="21" t="s">
        <v>611</v>
      </c>
      <c r="E522" s="21" t="s">
        <v>222</v>
      </c>
      <c r="F522" s="19">
        <v>9</v>
      </c>
      <c r="G522" s="22"/>
      <c r="H522" s="23"/>
      <c r="I522" s="24"/>
      <c r="J522" s="25" t="str">
        <f t="shared" si="21"/>
        <v/>
      </c>
      <c r="K522" s="34">
        <v>0</v>
      </c>
      <c r="L522" s="27">
        <v>0</v>
      </c>
      <c r="M522" s="28">
        <v>0</v>
      </c>
      <c r="N522" s="27">
        <f t="shared" si="22"/>
        <v>0</v>
      </c>
      <c r="O522" s="29">
        <f t="shared" si="23"/>
        <v>0</v>
      </c>
    </row>
    <row r="523" spans="1:15" x14ac:dyDescent="0.25">
      <c r="A523" s="19">
        <v>509</v>
      </c>
      <c r="B523" s="19">
        <v>993</v>
      </c>
      <c r="C523" s="20">
        <v>7500435199087</v>
      </c>
      <c r="D523" s="21" t="s">
        <v>611</v>
      </c>
      <c r="E523" s="21" t="s">
        <v>222</v>
      </c>
      <c r="F523" s="19">
        <v>9</v>
      </c>
      <c r="G523" s="22"/>
      <c r="H523" s="23"/>
      <c r="I523" s="24"/>
      <c r="J523" s="25" t="str">
        <f t="shared" si="21"/>
        <v/>
      </c>
      <c r="K523" s="26">
        <v>3586</v>
      </c>
      <c r="L523" s="27">
        <v>118.69</v>
      </c>
      <c r="M523" s="28">
        <v>0.05</v>
      </c>
      <c r="N523" s="27">
        <f t="shared" si="22"/>
        <v>112.7555</v>
      </c>
      <c r="O523" s="29">
        <f t="shared" si="23"/>
        <v>1014.7995</v>
      </c>
    </row>
    <row r="524" spans="1:15" x14ac:dyDescent="0.25">
      <c r="A524" s="30">
        <v>510</v>
      </c>
      <c r="B524" s="30">
        <v>651281</v>
      </c>
      <c r="C524" s="31">
        <v>7500435245340</v>
      </c>
      <c r="D524" s="32" t="s">
        <v>612</v>
      </c>
      <c r="E524" s="32" t="s">
        <v>44</v>
      </c>
      <c r="F524" s="30">
        <v>1</v>
      </c>
      <c r="G524" s="22"/>
      <c r="H524" s="23"/>
      <c r="I524" s="24"/>
      <c r="J524" s="33" t="str">
        <f t="shared" si="21"/>
        <v/>
      </c>
      <c r="K524" s="26">
        <v>1472</v>
      </c>
      <c r="L524" s="27">
        <v>11.51</v>
      </c>
      <c r="M524" s="28">
        <v>0.05</v>
      </c>
      <c r="N524" s="27">
        <f t="shared" si="22"/>
        <v>10.9345</v>
      </c>
      <c r="O524" s="29">
        <f t="shared" si="23"/>
        <v>10.9345</v>
      </c>
    </row>
    <row r="525" spans="1:15" x14ac:dyDescent="0.25">
      <c r="A525" s="30">
        <v>511</v>
      </c>
      <c r="B525" s="30">
        <v>651281</v>
      </c>
      <c r="C525" s="31">
        <v>7500435247757</v>
      </c>
      <c r="D525" s="32" t="s">
        <v>612</v>
      </c>
      <c r="E525" s="32" t="s">
        <v>44</v>
      </c>
      <c r="F525" s="30">
        <v>1</v>
      </c>
      <c r="G525" s="22"/>
      <c r="H525" s="23"/>
      <c r="I525" s="24"/>
      <c r="J525" s="33" t="str">
        <f t="shared" si="21"/>
        <v/>
      </c>
      <c r="K525" s="34">
        <v>0</v>
      </c>
      <c r="L525" s="27">
        <v>0</v>
      </c>
      <c r="M525" s="28">
        <v>0</v>
      </c>
      <c r="N525" s="27">
        <f t="shared" si="22"/>
        <v>0</v>
      </c>
      <c r="O525" s="29">
        <f t="shared" si="23"/>
        <v>0</v>
      </c>
    </row>
    <row r="526" spans="1:15" x14ac:dyDescent="0.25">
      <c r="A526" s="19">
        <v>512</v>
      </c>
      <c r="B526" s="19">
        <v>318341</v>
      </c>
      <c r="C526" s="20">
        <v>78911239</v>
      </c>
      <c r="D526" s="21" t="s">
        <v>613</v>
      </c>
      <c r="E526" s="21" t="s">
        <v>44</v>
      </c>
      <c r="F526" s="19">
        <v>9</v>
      </c>
      <c r="G526" s="22"/>
      <c r="H526" s="23"/>
      <c r="I526" s="24"/>
      <c r="J526" s="25" t="str">
        <f t="shared" si="21"/>
        <v/>
      </c>
      <c r="K526" s="34">
        <v>0</v>
      </c>
      <c r="L526" s="27">
        <v>0</v>
      </c>
      <c r="M526" s="28">
        <v>0</v>
      </c>
      <c r="N526" s="27">
        <f t="shared" si="22"/>
        <v>0</v>
      </c>
      <c r="O526" s="29">
        <f t="shared" si="23"/>
        <v>0</v>
      </c>
    </row>
    <row r="527" spans="1:15" x14ac:dyDescent="0.25">
      <c r="A527" s="19">
        <v>513</v>
      </c>
      <c r="B527" s="19">
        <v>318341</v>
      </c>
      <c r="C527" s="20">
        <v>7896093000217</v>
      </c>
      <c r="D527" s="21" t="s">
        <v>613</v>
      </c>
      <c r="E527" s="21" t="s">
        <v>44</v>
      </c>
      <c r="F527" s="19">
        <v>9</v>
      </c>
      <c r="G527" s="22"/>
      <c r="H527" s="23"/>
      <c r="I527" s="24"/>
      <c r="J527" s="25" t="str">
        <f t="shared" ref="J527:J552" si="24">IF(G527="","",F527*G527)</f>
        <v/>
      </c>
      <c r="K527" s="26">
        <v>1678</v>
      </c>
      <c r="L527" s="27">
        <v>216.52</v>
      </c>
      <c r="M527" s="28">
        <v>0.05</v>
      </c>
      <c r="N527" s="27">
        <f t="shared" si="22"/>
        <v>205.69400000000002</v>
      </c>
      <c r="O527" s="29">
        <f t="shared" si="23"/>
        <v>1851.2460000000001</v>
      </c>
    </row>
    <row r="528" spans="1:15" x14ac:dyDescent="0.25">
      <c r="A528" s="30">
        <v>514</v>
      </c>
      <c r="B528" s="30">
        <v>600581</v>
      </c>
      <c r="C528" s="31">
        <v>7501001246730</v>
      </c>
      <c r="D528" s="32" t="s">
        <v>614</v>
      </c>
      <c r="E528" s="32" t="s">
        <v>615</v>
      </c>
      <c r="F528" s="30">
        <v>14</v>
      </c>
      <c r="G528" s="22"/>
      <c r="H528" s="23"/>
      <c r="I528" s="24"/>
      <c r="J528" s="33" t="str">
        <f t="shared" si="24"/>
        <v/>
      </c>
      <c r="K528" s="34">
        <v>0</v>
      </c>
      <c r="L528" s="27">
        <v>0</v>
      </c>
      <c r="M528" s="28">
        <v>0</v>
      </c>
      <c r="N528" s="27">
        <f t="shared" ref="N528:N552" si="25">L528-(L528*M528)</f>
        <v>0</v>
      </c>
      <c r="O528" s="29">
        <f t="shared" ref="O528:O552" si="26">N528*F528</f>
        <v>0</v>
      </c>
    </row>
    <row r="529" spans="1:15" x14ac:dyDescent="0.25">
      <c r="A529" s="30">
        <v>515</v>
      </c>
      <c r="B529" s="30">
        <v>600581</v>
      </c>
      <c r="C529" s="31">
        <v>7500435140157</v>
      </c>
      <c r="D529" s="32" t="s">
        <v>614</v>
      </c>
      <c r="E529" s="32" t="s">
        <v>615</v>
      </c>
      <c r="F529" s="30">
        <v>14</v>
      </c>
      <c r="G529" s="22"/>
      <c r="H529" s="23"/>
      <c r="I529" s="24"/>
      <c r="J529" s="33" t="str">
        <f t="shared" si="24"/>
        <v/>
      </c>
      <c r="K529" s="34">
        <v>0</v>
      </c>
      <c r="L529" s="27">
        <v>0</v>
      </c>
      <c r="M529" s="28">
        <v>0</v>
      </c>
      <c r="N529" s="27">
        <f t="shared" si="25"/>
        <v>0</v>
      </c>
      <c r="O529" s="29">
        <f t="shared" si="26"/>
        <v>0</v>
      </c>
    </row>
    <row r="530" spans="1:15" x14ac:dyDescent="0.25">
      <c r="A530" s="30">
        <v>516</v>
      </c>
      <c r="B530" s="30">
        <v>600581</v>
      </c>
      <c r="C530" s="31">
        <v>78911222</v>
      </c>
      <c r="D530" s="32" t="s">
        <v>614</v>
      </c>
      <c r="E530" s="32" t="s">
        <v>615</v>
      </c>
      <c r="F530" s="30">
        <v>14</v>
      </c>
      <c r="G530" s="22"/>
      <c r="H530" s="23"/>
      <c r="I530" s="24"/>
      <c r="J530" s="33" t="str">
        <f t="shared" si="24"/>
        <v/>
      </c>
      <c r="K530" s="34">
        <v>0</v>
      </c>
      <c r="L530" s="27">
        <v>0</v>
      </c>
      <c r="M530" s="28">
        <v>0</v>
      </c>
      <c r="N530" s="27">
        <f t="shared" si="25"/>
        <v>0</v>
      </c>
      <c r="O530" s="29">
        <f t="shared" si="26"/>
        <v>0</v>
      </c>
    </row>
    <row r="531" spans="1:15" x14ac:dyDescent="0.25">
      <c r="A531" s="30">
        <v>517</v>
      </c>
      <c r="B531" s="30">
        <v>600581</v>
      </c>
      <c r="C531" s="31">
        <v>7896093001030</v>
      </c>
      <c r="D531" s="32" t="s">
        <v>614</v>
      </c>
      <c r="E531" s="32" t="s">
        <v>615</v>
      </c>
      <c r="F531" s="30">
        <v>14</v>
      </c>
      <c r="G531" s="22"/>
      <c r="H531" s="23"/>
      <c r="I531" s="24"/>
      <c r="J531" s="33" t="str">
        <f t="shared" si="24"/>
        <v/>
      </c>
      <c r="K531" s="26">
        <v>4321</v>
      </c>
      <c r="L531" s="27">
        <v>437.28</v>
      </c>
      <c r="M531" s="28">
        <v>0.05</v>
      </c>
      <c r="N531" s="27">
        <f t="shared" si="25"/>
        <v>415.416</v>
      </c>
      <c r="O531" s="29">
        <f t="shared" si="26"/>
        <v>5815.8239999999996</v>
      </c>
    </row>
    <row r="532" spans="1:15" x14ac:dyDescent="0.25">
      <c r="A532" s="19">
        <v>518</v>
      </c>
      <c r="B532" s="19">
        <v>395921</v>
      </c>
      <c r="C532" s="20">
        <v>78911246</v>
      </c>
      <c r="D532" s="21" t="s">
        <v>616</v>
      </c>
      <c r="E532" s="21" t="s">
        <v>44</v>
      </c>
      <c r="F532" s="19">
        <v>5</v>
      </c>
      <c r="G532" s="22"/>
      <c r="H532" s="23"/>
      <c r="I532" s="24"/>
      <c r="J532" s="25" t="str">
        <f t="shared" si="24"/>
        <v/>
      </c>
      <c r="K532" s="34">
        <v>0</v>
      </c>
      <c r="L532" s="27">
        <v>0</v>
      </c>
      <c r="M532" s="28">
        <v>0</v>
      </c>
      <c r="N532" s="27">
        <f t="shared" si="25"/>
        <v>0</v>
      </c>
      <c r="O532" s="29">
        <f t="shared" si="26"/>
        <v>0</v>
      </c>
    </row>
    <row r="533" spans="1:15" x14ac:dyDescent="0.25">
      <c r="A533" s="30">
        <v>519</v>
      </c>
      <c r="B533" s="30">
        <v>542821</v>
      </c>
      <c r="C533" s="31">
        <v>789112444</v>
      </c>
      <c r="D533" s="32" t="s">
        <v>617</v>
      </c>
      <c r="E533" s="32" t="s">
        <v>44</v>
      </c>
      <c r="F533" s="30">
        <v>11</v>
      </c>
      <c r="G533" s="22"/>
      <c r="H533" s="23"/>
      <c r="I533" s="24"/>
      <c r="J533" s="33" t="str">
        <f t="shared" si="24"/>
        <v/>
      </c>
      <c r="K533" s="34">
        <v>0</v>
      </c>
      <c r="L533" s="27">
        <v>0</v>
      </c>
      <c r="M533" s="28">
        <v>0</v>
      </c>
      <c r="N533" s="27">
        <f t="shared" si="25"/>
        <v>0</v>
      </c>
      <c r="O533" s="29">
        <f t="shared" si="26"/>
        <v>0</v>
      </c>
    </row>
    <row r="534" spans="1:15" x14ac:dyDescent="0.25">
      <c r="A534" s="30">
        <v>520</v>
      </c>
      <c r="B534" s="30">
        <v>542821</v>
      </c>
      <c r="C534" s="31">
        <v>7590002032817</v>
      </c>
      <c r="D534" s="32" t="s">
        <v>617</v>
      </c>
      <c r="E534" s="32" t="s">
        <v>44</v>
      </c>
      <c r="F534" s="30">
        <v>11</v>
      </c>
      <c r="G534" s="22"/>
      <c r="H534" s="23"/>
      <c r="I534" s="24"/>
      <c r="J534" s="33" t="str">
        <f t="shared" si="24"/>
        <v/>
      </c>
      <c r="K534" s="26">
        <v>10667</v>
      </c>
      <c r="L534" s="27">
        <v>41.27</v>
      </c>
      <c r="M534" s="28">
        <v>0.05</v>
      </c>
      <c r="N534" s="27">
        <f t="shared" si="25"/>
        <v>39.206500000000005</v>
      </c>
      <c r="O534" s="29">
        <f t="shared" si="26"/>
        <v>431.27150000000006</v>
      </c>
    </row>
    <row r="535" spans="1:15" x14ac:dyDescent="0.25">
      <c r="A535" s="19">
        <v>521</v>
      </c>
      <c r="B535" s="19">
        <v>610801</v>
      </c>
      <c r="C535" s="20">
        <v>7500435209786</v>
      </c>
      <c r="D535" s="21" t="s">
        <v>618</v>
      </c>
      <c r="E535" s="21" t="s">
        <v>44</v>
      </c>
      <c r="F535" s="19">
        <v>5</v>
      </c>
      <c r="G535" s="22"/>
      <c r="H535" s="23"/>
      <c r="I535" s="24"/>
      <c r="J535" s="25" t="str">
        <f t="shared" si="24"/>
        <v/>
      </c>
      <c r="K535" s="26">
        <v>536</v>
      </c>
      <c r="L535" s="27">
        <v>34.14</v>
      </c>
      <c r="M535" s="28">
        <v>0.05</v>
      </c>
      <c r="N535" s="27">
        <f t="shared" si="25"/>
        <v>32.433</v>
      </c>
      <c r="O535" s="29">
        <f t="shared" si="26"/>
        <v>162.16499999999999</v>
      </c>
    </row>
    <row r="536" spans="1:15" x14ac:dyDescent="0.25">
      <c r="A536" s="30">
        <v>522</v>
      </c>
      <c r="B536" s="30">
        <v>160821</v>
      </c>
      <c r="C536" s="31">
        <v>7896548139585</v>
      </c>
      <c r="D536" s="32" t="s">
        <v>619</v>
      </c>
      <c r="E536" s="32" t="s">
        <v>72</v>
      </c>
      <c r="F536" s="30">
        <v>1</v>
      </c>
      <c r="G536" s="22"/>
      <c r="H536" s="23"/>
      <c r="I536" s="24"/>
      <c r="J536" s="33" t="str">
        <f t="shared" si="24"/>
        <v/>
      </c>
      <c r="K536" s="26">
        <v>0</v>
      </c>
      <c r="L536" s="27">
        <v>41.36</v>
      </c>
      <c r="M536" s="28">
        <v>0.02</v>
      </c>
      <c r="N536" s="27">
        <f t="shared" si="25"/>
        <v>40.532800000000002</v>
      </c>
      <c r="O536" s="29">
        <f t="shared" si="26"/>
        <v>40.532800000000002</v>
      </c>
    </row>
    <row r="537" spans="1:15" x14ac:dyDescent="0.25">
      <c r="A537" s="19">
        <v>523</v>
      </c>
      <c r="B537" s="19">
        <v>671271</v>
      </c>
      <c r="C537" s="20">
        <v>7896004773759</v>
      </c>
      <c r="D537" s="21" t="s">
        <v>620</v>
      </c>
      <c r="E537" s="21" t="s">
        <v>621</v>
      </c>
      <c r="F537" s="19">
        <v>5</v>
      </c>
      <c r="G537" s="22"/>
      <c r="H537" s="23"/>
      <c r="I537" s="24"/>
      <c r="J537" s="25" t="str">
        <f t="shared" si="24"/>
        <v/>
      </c>
      <c r="K537" s="26">
        <v>372</v>
      </c>
      <c r="L537" s="27">
        <v>45.71</v>
      </c>
      <c r="M537" s="28">
        <v>0</v>
      </c>
      <c r="N537" s="27">
        <f t="shared" si="25"/>
        <v>45.71</v>
      </c>
      <c r="O537" s="29">
        <f t="shared" si="26"/>
        <v>228.55</v>
      </c>
    </row>
    <row r="538" spans="1:15" x14ac:dyDescent="0.25">
      <c r="A538" s="30">
        <v>524</v>
      </c>
      <c r="B538" s="30">
        <v>671911</v>
      </c>
      <c r="C538" s="31">
        <v>7896004780818</v>
      </c>
      <c r="D538" s="32" t="s">
        <v>622</v>
      </c>
      <c r="E538" s="32" t="s">
        <v>621</v>
      </c>
      <c r="F538" s="30">
        <v>2</v>
      </c>
      <c r="G538" s="22"/>
      <c r="H538" s="23"/>
      <c r="I538" s="24"/>
      <c r="J538" s="33" t="str">
        <f t="shared" si="24"/>
        <v/>
      </c>
      <c r="K538" s="26">
        <v>84</v>
      </c>
      <c r="L538" s="27">
        <v>75.14</v>
      </c>
      <c r="M538" s="28">
        <v>0</v>
      </c>
      <c r="N538" s="27">
        <f t="shared" si="25"/>
        <v>75.14</v>
      </c>
      <c r="O538" s="29">
        <f t="shared" si="26"/>
        <v>150.28</v>
      </c>
    </row>
    <row r="539" spans="1:15" x14ac:dyDescent="0.25">
      <c r="A539" s="19">
        <v>525</v>
      </c>
      <c r="B539" s="19">
        <v>468501</v>
      </c>
      <c r="C539" s="20">
        <v>7897129300516</v>
      </c>
      <c r="D539" s="21" t="s">
        <v>623</v>
      </c>
      <c r="E539" s="21" t="s">
        <v>624</v>
      </c>
      <c r="F539" s="19">
        <v>6</v>
      </c>
      <c r="G539" s="22"/>
      <c r="H539" s="23"/>
      <c r="I539" s="24"/>
      <c r="J539" s="25" t="str">
        <f t="shared" si="24"/>
        <v/>
      </c>
      <c r="K539" s="26">
        <v>225</v>
      </c>
      <c r="L539" s="27">
        <v>34.119999999999997</v>
      </c>
      <c r="M539" s="28">
        <v>0.03</v>
      </c>
      <c r="N539" s="27">
        <f t="shared" si="25"/>
        <v>33.096399999999996</v>
      </c>
      <c r="O539" s="29">
        <f t="shared" si="26"/>
        <v>198.57839999999999</v>
      </c>
    </row>
    <row r="540" spans="1:15" x14ac:dyDescent="0.25">
      <c r="A540" s="30">
        <v>526</v>
      </c>
      <c r="B540" s="30">
        <v>468521</v>
      </c>
      <c r="C540" s="31">
        <v>7897129300509</v>
      </c>
      <c r="D540" s="32" t="s">
        <v>625</v>
      </c>
      <c r="E540" s="32" t="s">
        <v>624</v>
      </c>
      <c r="F540" s="30">
        <v>2</v>
      </c>
      <c r="G540" s="22"/>
      <c r="H540" s="23"/>
      <c r="I540" s="24"/>
      <c r="J540" s="33" t="str">
        <f t="shared" si="24"/>
        <v/>
      </c>
      <c r="K540" s="26">
        <v>0</v>
      </c>
      <c r="L540" s="27">
        <v>48.79</v>
      </c>
      <c r="M540" s="28">
        <v>0.03</v>
      </c>
      <c r="N540" s="27">
        <f t="shared" si="25"/>
        <v>47.326299999999996</v>
      </c>
      <c r="O540" s="29">
        <f t="shared" si="26"/>
        <v>94.652599999999993</v>
      </c>
    </row>
    <row r="541" spans="1:15" x14ac:dyDescent="0.25">
      <c r="A541" s="19">
        <v>527</v>
      </c>
      <c r="B541" s="19">
        <v>468541</v>
      </c>
      <c r="C541" s="20">
        <v>7897129303579</v>
      </c>
      <c r="D541" s="21" t="s">
        <v>626</v>
      </c>
      <c r="E541" s="21" t="s">
        <v>624</v>
      </c>
      <c r="F541" s="19">
        <v>1</v>
      </c>
      <c r="G541" s="22"/>
      <c r="H541" s="23"/>
      <c r="I541" s="24"/>
      <c r="J541" s="25" t="str">
        <f t="shared" si="24"/>
        <v/>
      </c>
      <c r="K541" s="26">
        <v>69</v>
      </c>
      <c r="L541" s="27">
        <v>60.48</v>
      </c>
      <c r="M541" s="28">
        <v>0.03</v>
      </c>
      <c r="N541" s="27">
        <f t="shared" si="25"/>
        <v>58.665599999999998</v>
      </c>
      <c r="O541" s="29">
        <f t="shared" si="26"/>
        <v>58.665599999999998</v>
      </c>
    </row>
    <row r="542" spans="1:15" x14ac:dyDescent="0.25">
      <c r="A542" s="30">
        <v>528</v>
      </c>
      <c r="B542" s="30">
        <v>211861</v>
      </c>
      <c r="C542" s="31">
        <v>7896261000797</v>
      </c>
      <c r="D542" s="32" t="s">
        <v>627</v>
      </c>
      <c r="E542" s="32" t="s">
        <v>72</v>
      </c>
      <c r="F542" s="30">
        <v>1</v>
      </c>
      <c r="G542" s="22"/>
      <c r="H542" s="23"/>
      <c r="I542" s="24"/>
      <c r="J542" s="33" t="str">
        <f t="shared" si="24"/>
        <v/>
      </c>
      <c r="K542" s="26">
        <v>712</v>
      </c>
      <c r="L542" s="27">
        <v>21.7</v>
      </c>
      <c r="M542" s="28">
        <v>0.04</v>
      </c>
      <c r="N542" s="27">
        <f t="shared" si="25"/>
        <v>20.832000000000001</v>
      </c>
      <c r="O542" s="29">
        <f t="shared" si="26"/>
        <v>20.832000000000001</v>
      </c>
    </row>
    <row r="543" spans="1:15" x14ac:dyDescent="0.25">
      <c r="A543" s="19">
        <v>529</v>
      </c>
      <c r="B543" s="19">
        <v>65101</v>
      </c>
      <c r="C543" s="20">
        <v>7590002023228</v>
      </c>
      <c r="D543" s="21" t="s">
        <v>628</v>
      </c>
      <c r="E543" s="21" t="s">
        <v>44</v>
      </c>
      <c r="F543" s="19">
        <v>23</v>
      </c>
      <c r="G543" s="22"/>
      <c r="H543" s="23"/>
      <c r="I543" s="24"/>
      <c r="J543" s="25" t="str">
        <f t="shared" si="24"/>
        <v/>
      </c>
      <c r="K543" s="26">
        <v>5786</v>
      </c>
      <c r="L543" s="27">
        <v>34.14</v>
      </c>
      <c r="M543" s="28">
        <v>0.05</v>
      </c>
      <c r="N543" s="27">
        <f t="shared" si="25"/>
        <v>32.433</v>
      </c>
      <c r="O543" s="29">
        <f t="shared" si="26"/>
        <v>745.95899999999995</v>
      </c>
    </row>
    <row r="544" spans="1:15" x14ac:dyDescent="0.25">
      <c r="A544" s="30">
        <v>530</v>
      </c>
      <c r="B544" s="30">
        <v>65081</v>
      </c>
      <c r="C544" s="31">
        <v>7500435144384</v>
      </c>
      <c r="D544" s="32" t="s">
        <v>629</v>
      </c>
      <c r="E544" s="32" t="s">
        <v>44</v>
      </c>
      <c r="F544" s="30">
        <v>2</v>
      </c>
      <c r="G544" s="22"/>
      <c r="H544" s="23"/>
      <c r="I544" s="24"/>
      <c r="J544" s="33" t="str">
        <f t="shared" si="24"/>
        <v/>
      </c>
      <c r="K544" s="26">
        <v>580</v>
      </c>
      <c r="L544" s="27">
        <v>61.36</v>
      </c>
      <c r="M544" s="28">
        <v>0.05</v>
      </c>
      <c r="N544" s="27">
        <f t="shared" si="25"/>
        <v>58.292000000000002</v>
      </c>
      <c r="O544" s="29">
        <f t="shared" si="26"/>
        <v>116.584</v>
      </c>
    </row>
    <row r="545" spans="1:15" x14ac:dyDescent="0.25">
      <c r="A545" s="19">
        <v>531</v>
      </c>
      <c r="B545" s="19">
        <v>273361</v>
      </c>
      <c r="C545" s="20">
        <v>7500435153072</v>
      </c>
      <c r="D545" s="21" t="s">
        <v>630</v>
      </c>
      <c r="E545" s="21" t="s">
        <v>44</v>
      </c>
      <c r="F545" s="19">
        <v>10</v>
      </c>
      <c r="G545" s="22"/>
      <c r="H545" s="23"/>
      <c r="I545" s="24"/>
      <c r="J545" s="25" t="str">
        <f t="shared" si="24"/>
        <v/>
      </c>
      <c r="K545" s="26">
        <v>2966</v>
      </c>
      <c r="L545" s="27">
        <v>34.14</v>
      </c>
      <c r="M545" s="28">
        <v>0.05</v>
      </c>
      <c r="N545" s="27">
        <f t="shared" si="25"/>
        <v>32.433</v>
      </c>
      <c r="O545" s="29">
        <f t="shared" si="26"/>
        <v>324.33</v>
      </c>
    </row>
    <row r="546" spans="1:15" x14ac:dyDescent="0.25">
      <c r="A546" s="30">
        <v>532</v>
      </c>
      <c r="B546" s="30">
        <v>326621</v>
      </c>
      <c r="C546" s="31">
        <v>7891317425869</v>
      </c>
      <c r="D546" s="32" t="s">
        <v>631</v>
      </c>
      <c r="E546" s="32" t="s">
        <v>40</v>
      </c>
      <c r="F546" s="30">
        <v>25</v>
      </c>
      <c r="G546" s="22"/>
      <c r="H546" s="23"/>
      <c r="I546" s="24"/>
      <c r="J546" s="33" t="str">
        <f t="shared" si="24"/>
        <v/>
      </c>
      <c r="K546" s="26">
        <v>0</v>
      </c>
      <c r="L546" s="27">
        <v>11.31</v>
      </c>
      <c r="M546" s="28">
        <v>0.02</v>
      </c>
      <c r="N546" s="27">
        <f t="shared" si="25"/>
        <v>11.0838</v>
      </c>
      <c r="O546" s="29">
        <f t="shared" si="26"/>
        <v>277.09500000000003</v>
      </c>
    </row>
    <row r="547" spans="1:15" x14ac:dyDescent="0.25">
      <c r="A547" s="19">
        <v>533</v>
      </c>
      <c r="B547" s="19">
        <v>184</v>
      </c>
      <c r="C547" s="20">
        <v>7896658047022</v>
      </c>
      <c r="D547" s="21" t="s">
        <v>632</v>
      </c>
      <c r="E547" s="21" t="s">
        <v>42</v>
      </c>
      <c r="F547" s="19">
        <v>1</v>
      </c>
      <c r="G547" s="22"/>
      <c r="H547" s="23"/>
      <c r="I547" s="24"/>
      <c r="J547" s="25" t="str">
        <f t="shared" si="24"/>
        <v/>
      </c>
      <c r="K547" s="26">
        <v>84</v>
      </c>
      <c r="L547" s="27">
        <v>20.2</v>
      </c>
      <c r="M547" s="28">
        <v>2.5000000000000001E-2</v>
      </c>
      <c r="N547" s="27">
        <f t="shared" si="25"/>
        <v>19.695</v>
      </c>
      <c r="O547" s="29">
        <f t="shared" si="26"/>
        <v>19.695</v>
      </c>
    </row>
    <row r="548" spans="1:15" x14ac:dyDescent="0.25">
      <c r="A548" s="30">
        <v>534</v>
      </c>
      <c r="B548" s="30">
        <v>670521</v>
      </c>
      <c r="C548" s="31">
        <v>7896658047008</v>
      </c>
      <c r="D548" s="32" t="s">
        <v>633</v>
      </c>
      <c r="E548" s="32" t="s">
        <v>634</v>
      </c>
      <c r="F548" s="30">
        <v>1</v>
      </c>
      <c r="G548" s="22"/>
      <c r="H548" s="23"/>
      <c r="I548" s="24"/>
      <c r="J548" s="33" t="str">
        <f t="shared" si="24"/>
        <v/>
      </c>
      <c r="K548" s="34">
        <v>0</v>
      </c>
      <c r="L548" s="27">
        <v>0</v>
      </c>
      <c r="M548" s="28">
        <v>2.5000000000000001E-2</v>
      </c>
      <c r="N548" s="27">
        <f t="shared" si="25"/>
        <v>0</v>
      </c>
      <c r="O548" s="29">
        <f t="shared" si="26"/>
        <v>0</v>
      </c>
    </row>
    <row r="549" spans="1:15" x14ac:dyDescent="0.25">
      <c r="A549" s="19">
        <v>535</v>
      </c>
      <c r="B549" s="19">
        <v>214141</v>
      </c>
      <c r="C549" s="20">
        <v>7891317457211</v>
      </c>
      <c r="D549" s="21" t="s">
        <v>635</v>
      </c>
      <c r="E549" s="21" t="s">
        <v>40</v>
      </c>
      <c r="F549" s="19">
        <v>1</v>
      </c>
      <c r="G549" s="22"/>
      <c r="H549" s="23"/>
      <c r="I549" s="24"/>
      <c r="J549" s="25" t="str">
        <f t="shared" si="24"/>
        <v/>
      </c>
      <c r="K549" s="26">
        <v>140</v>
      </c>
      <c r="L549" s="27">
        <v>47.14</v>
      </c>
      <c r="M549" s="28">
        <v>0.02</v>
      </c>
      <c r="N549" s="27">
        <f t="shared" si="25"/>
        <v>46.197200000000002</v>
      </c>
      <c r="O549" s="29">
        <f t="shared" si="26"/>
        <v>46.197200000000002</v>
      </c>
    </row>
    <row r="550" spans="1:15" x14ac:dyDescent="0.25">
      <c r="A550" s="30">
        <v>536</v>
      </c>
      <c r="B550" s="30">
        <v>591271</v>
      </c>
      <c r="C550" s="31">
        <v>7899824400201</v>
      </c>
      <c r="D550" s="32" t="s">
        <v>636</v>
      </c>
      <c r="E550" s="32" t="s">
        <v>637</v>
      </c>
      <c r="F550" s="30">
        <v>1</v>
      </c>
      <c r="G550" s="22"/>
      <c r="H550" s="23"/>
      <c r="I550" s="24"/>
      <c r="J550" s="33" t="str">
        <f t="shared" si="24"/>
        <v/>
      </c>
      <c r="K550" s="26">
        <v>223</v>
      </c>
      <c r="L550" s="27">
        <v>64.14</v>
      </c>
      <c r="M550" s="28">
        <v>0</v>
      </c>
      <c r="N550" s="27">
        <f t="shared" si="25"/>
        <v>64.14</v>
      </c>
      <c r="O550" s="29">
        <f t="shared" si="26"/>
        <v>64.14</v>
      </c>
    </row>
    <row r="551" spans="1:15" x14ac:dyDescent="0.25">
      <c r="A551" s="19">
        <v>537</v>
      </c>
      <c r="B551" s="19">
        <v>556361</v>
      </c>
      <c r="C551" s="20">
        <v>7899824401055</v>
      </c>
      <c r="D551" s="21" t="s">
        <v>638</v>
      </c>
      <c r="E551" s="21" t="s">
        <v>637</v>
      </c>
      <c r="F551" s="19">
        <v>6</v>
      </c>
      <c r="G551" s="22"/>
      <c r="H551" s="23"/>
      <c r="I551" s="24"/>
      <c r="J551" s="25" t="str">
        <f t="shared" si="24"/>
        <v/>
      </c>
      <c r="K551" s="26">
        <v>977</v>
      </c>
      <c r="L551" s="27">
        <v>71.34</v>
      </c>
      <c r="M551" s="28">
        <v>0</v>
      </c>
      <c r="N551" s="27">
        <f t="shared" si="25"/>
        <v>71.34</v>
      </c>
      <c r="O551" s="29">
        <f t="shared" si="26"/>
        <v>428.04</v>
      </c>
    </row>
    <row r="552" spans="1:15" x14ac:dyDescent="0.25">
      <c r="A552" s="30">
        <v>538</v>
      </c>
      <c r="B552" s="30">
        <v>261481</v>
      </c>
      <c r="C552" s="31">
        <v>7897316805442</v>
      </c>
      <c r="D552" s="32" t="s">
        <v>639</v>
      </c>
      <c r="E552" s="32" t="s">
        <v>437</v>
      </c>
      <c r="F552" s="30">
        <v>1</v>
      </c>
      <c r="G552" s="22"/>
      <c r="H552" s="23"/>
      <c r="I552" s="24"/>
      <c r="J552" s="33" t="str">
        <f t="shared" si="24"/>
        <v/>
      </c>
      <c r="K552" s="26">
        <v>44</v>
      </c>
      <c r="L552" s="27">
        <v>72.98</v>
      </c>
      <c r="M552" s="28">
        <v>0</v>
      </c>
      <c r="N552" s="27">
        <f t="shared" si="25"/>
        <v>72.98</v>
      </c>
      <c r="O552" s="29">
        <f t="shared" si="26"/>
        <v>72.98</v>
      </c>
    </row>
    <row r="554" spans="1:15" x14ac:dyDescent="0.25">
      <c r="I554" s="3" t="s">
        <v>640</v>
      </c>
      <c r="J554" s="6">
        <f>COUNT(G15:G552)</f>
        <v>0</v>
      </c>
    </row>
    <row r="555" spans="1:15" x14ac:dyDescent="0.25">
      <c r="I555" s="3" t="s">
        <v>641</v>
      </c>
      <c r="J555" s="7">
        <f>SUM(J15:J552)</f>
        <v>0</v>
      </c>
    </row>
  </sheetData>
  <autoFilter ref="A14:J552" xr:uid="{00000000-0009-0000-0000-000000000000}"/>
  <mergeCells count="8">
    <mergeCell ref="B7:D7"/>
    <mergeCell ref="G7:I7"/>
    <mergeCell ref="B6:D6"/>
    <mergeCell ref="B5:D5"/>
    <mergeCell ref="G6:I6"/>
    <mergeCell ref="G5:I5"/>
    <mergeCell ref="B4:D4"/>
    <mergeCell ref="G4:I4"/>
  </mergeCells>
  <conditionalFormatting sqref="H15:H552">
    <cfRule type="expression" dxfId="0" priority="1">
      <formula>AND(H15&lt;&gt;"",H15&lt;F15)</formula>
    </cfRule>
  </conditionalFormatting>
  <dataValidations count="2">
    <dataValidation type="decimal" operator="greaterThanOrEqual" errorTitle="Valor inválido" error="Informe apenas o preço em número (ex.: 12,34)." sqref="G15:G552" xr:uid="{00000000-0002-0000-0000-000000000000}">
      <formula1>0</formula1>
    </dataValidation>
    <dataValidation type="whole" operator="greaterThanOrEqual" errorTitle="Valor inválido" error="Informe a quantidade em número inteiro de embalagens." sqref="H15:H552" xr:uid="{00000000-0002-0000-0000-000001000000}">
      <formula1>0</formula1>
    </dataValidation>
  </dataValidations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Cotação</vt:lpstr>
      <vt:lpstr>Cotação!Titulos_de_impressao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Luis Da Silva Alves</cp:lastModifiedBy>
  <dcterms:created xsi:type="dcterms:W3CDTF">2026-10-05T13:54:41Z</dcterms:created>
  <dcterms:modified xsi:type="dcterms:W3CDTF">2026-10-05T17:31:27Z</dcterms:modified>
</cp:coreProperties>
</file>