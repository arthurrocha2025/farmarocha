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52" customWidth="1" min="6" max="6"/>
    <col width="12" customWidth="1" min="7" max="7"/>
    <col width="6" customWidth="1" min="8" max="8"/>
    <col width="7" customWidth="1" min="9" max="9"/>
    <col width="8" customWidth="1" min="10" max="10"/>
    <col width="12" customWidth="1" min="11" max="11"/>
    <col width="13" customWidth="1" min="12" max="12"/>
    <col width="12" customWidth="1" min="13" max="13"/>
  </cols>
  <sheetData>
    <row r="1" ht="28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EAN adic. 1</t>
        </is>
      </c>
      <c r="D1" s="1" t="inlineStr">
        <is>
          <t>EAN adic. 2</t>
        </is>
      </c>
      <c r="E1" s="1" t="inlineStr">
        <is>
          <t>EAN adic. 3</t>
        </is>
      </c>
      <c r="F1" s="1" t="inlineStr">
        <is>
          <t>Produto</t>
        </is>
      </c>
      <c r="G1" s="1" t="inlineStr">
        <is>
          <t>Grupo</t>
        </is>
      </c>
      <c r="H1" s="1" t="inlineStr">
        <is>
          <t>ABC</t>
        </is>
      </c>
      <c r="I1" s="1" t="inlineStr">
        <is>
          <t>Un/Cx</t>
        </is>
      </c>
      <c r="J1" s="1" t="inlineStr">
        <is>
          <t>Caixas</t>
        </is>
      </c>
      <c r="K1" s="1" t="inlineStr">
        <is>
          <t>Un. compradas</t>
        </is>
      </c>
      <c r="L1" s="1" t="inlineStr">
        <is>
          <t>Últ. preço compra</t>
        </is>
      </c>
      <c r="M1" s="1" t="inlineStr">
        <is>
          <t>Data últ. compra</t>
        </is>
      </c>
    </row>
    <row r="2">
      <c r="A2" s="2" t="n">
        <v>137461</v>
      </c>
      <c r="B2" s="2" t="inlineStr">
        <is>
          <t>7896006290100</t>
        </is>
      </c>
      <c r="C2" s="2" t="inlineStr"/>
      <c r="D2" s="2" t="inlineStr"/>
      <c r="E2" s="2" t="inlineStr"/>
      <c r="F2" s="2" t="inlineStr">
        <is>
          <t>CYLOCORT 3+1MG/ML SOL OFT FR GTS X 5ML</t>
        </is>
      </c>
      <c r="G2" s="2" t="inlineStr">
        <is>
          <t>RX - SIMILAR - ATB</t>
        </is>
      </c>
      <c r="H2" s="2" t="inlineStr">
        <is>
          <t>B</t>
        </is>
      </c>
      <c r="I2" s="3" t="n">
        <v>1</v>
      </c>
      <c r="J2" s="3" t="n">
        <v>1</v>
      </c>
      <c r="K2" s="3" t="n">
        <v>1</v>
      </c>
      <c r="L2" s="4" t="n">
        <v>29.99</v>
      </c>
      <c r="M2" s="2" t="inlineStr">
        <is>
          <t>05/08/2026</t>
        </is>
      </c>
    </row>
    <row r="3">
      <c r="A3" s="2" t="n">
        <v>6681</v>
      </c>
      <c r="B3" s="2" t="inlineStr">
        <is>
          <t>7896006206781</t>
        </is>
      </c>
      <c r="C3" s="2" t="inlineStr"/>
      <c r="D3" s="2" t="inlineStr"/>
      <c r="E3" s="2" t="inlineStr"/>
      <c r="F3" s="2" t="inlineStr">
        <is>
          <t>DEMEDROX 150MG/ML SUS INJ 1AMP</t>
        </is>
      </c>
      <c r="G3" s="2" t="inlineStr">
        <is>
          <t>RX</t>
        </is>
      </c>
      <c r="H3" s="2" t="inlineStr">
        <is>
          <t>A</t>
        </is>
      </c>
      <c r="I3" s="3" t="n">
        <v>1</v>
      </c>
      <c r="J3" s="3" t="n">
        <v>1</v>
      </c>
      <c r="K3" s="3" t="n">
        <v>1</v>
      </c>
      <c r="L3" s="4" t="n">
        <v>37.89</v>
      </c>
      <c r="M3" s="2" t="inlineStr">
        <is>
          <t>11/08/2026</t>
        </is>
      </c>
    </row>
    <row r="4">
      <c r="A4" s="2" t="n">
        <v>458261</v>
      </c>
      <c r="B4" s="2" t="inlineStr">
        <is>
          <t>7896006290629</t>
        </is>
      </c>
      <c r="C4" s="2" t="inlineStr"/>
      <c r="D4" s="2" t="inlineStr"/>
      <c r="E4" s="2" t="inlineStr"/>
      <c r="F4" s="2" t="inlineStr">
        <is>
          <t>GLAUB 2MG SOL OFT FR 5ML</t>
        </is>
      </c>
      <c r="G4" s="2" t="inlineStr">
        <is>
          <t>RX</t>
        </is>
      </c>
      <c r="H4" s="2" t="inlineStr">
        <is>
          <t>C</t>
        </is>
      </c>
      <c r="I4" s="3" t="n">
        <v>1</v>
      </c>
      <c r="J4" s="3" t="n">
        <v>3</v>
      </c>
      <c r="K4" s="3" t="n">
        <v>3</v>
      </c>
      <c r="L4" s="4" t="n">
        <v>20.9</v>
      </c>
      <c r="M4" s="2" t="inlineStr">
        <is>
          <t>25/06/2026</t>
        </is>
      </c>
    </row>
    <row r="5">
      <c r="A5" s="2" t="n">
        <v>328861</v>
      </c>
      <c r="B5" s="2" t="inlineStr">
        <is>
          <t>7896006290162</t>
        </is>
      </c>
      <c r="C5" s="2" t="inlineStr"/>
      <c r="D5" s="2" t="inlineStr"/>
      <c r="E5" s="2" t="inlineStr"/>
      <c r="F5" s="2" t="inlineStr">
        <is>
          <t>GLAUCOTRAT 0,50% SOL FR X 5ML</t>
        </is>
      </c>
      <c r="G5" s="2" t="inlineStr">
        <is>
          <t>RX</t>
        </is>
      </c>
      <c r="H5" s="2" t="inlineStr">
        <is>
          <t>A</t>
        </is>
      </c>
      <c r="I5" s="3" t="n">
        <v>1</v>
      </c>
      <c r="J5" s="3" t="n">
        <v>4</v>
      </c>
      <c r="K5" s="3" t="n">
        <v>4</v>
      </c>
      <c r="L5" s="4" t="n">
        <v>12.01</v>
      </c>
      <c r="M5" s="2" t="inlineStr">
        <is>
          <t>11/08/2026</t>
        </is>
      </c>
    </row>
    <row r="6">
      <c r="A6" s="2" t="n">
        <v>539741</v>
      </c>
      <c r="B6" s="2" t="inlineStr">
        <is>
          <t>3662042000058</t>
        </is>
      </c>
      <c r="C6" s="2" t="inlineStr"/>
      <c r="D6" s="2" t="inlineStr"/>
      <c r="E6" s="2" t="inlineStr"/>
      <c r="F6" s="2" t="inlineStr">
        <is>
          <t>HYABAK SOL OFT FR X 10ML</t>
        </is>
      </c>
      <c r="G6" s="2" t="inlineStr">
        <is>
          <t>RX - OTC</t>
        </is>
      </c>
      <c r="H6" s="2" t="inlineStr">
        <is>
          <t>A</t>
        </is>
      </c>
      <c r="I6" s="3" t="n">
        <v>1</v>
      </c>
      <c r="J6" s="3" t="n">
        <v>11</v>
      </c>
      <c r="K6" s="3" t="n">
        <v>11</v>
      </c>
      <c r="L6" s="4" t="n">
        <v>55.945</v>
      </c>
      <c r="M6" s="2" t="inlineStr">
        <is>
          <t>17/07/2026</t>
        </is>
      </c>
    </row>
    <row r="7">
      <c r="A7" s="2" t="n">
        <v>82021</v>
      </c>
      <c r="B7" s="2" t="inlineStr">
        <is>
          <t>7896006291398</t>
        </is>
      </c>
      <c r="C7" s="2" t="inlineStr"/>
      <c r="D7" s="2" t="inlineStr"/>
      <c r="E7" s="2" t="inlineStr"/>
      <c r="F7" s="2" t="inlineStr">
        <is>
          <t>LACRIFILM 5MG/ML SOL OFT FR GTS 10ML</t>
        </is>
      </c>
      <c r="G7" s="2" t="inlineStr">
        <is>
          <t>RX - OTC</t>
        </is>
      </c>
      <c r="H7" s="2" t="inlineStr">
        <is>
          <t>A</t>
        </is>
      </c>
      <c r="I7" s="3" t="n">
        <v>1</v>
      </c>
      <c r="J7" s="3" t="n">
        <v>4</v>
      </c>
      <c r="K7" s="3" t="n">
        <v>4</v>
      </c>
      <c r="L7" s="4" t="n">
        <v>27.51</v>
      </c>
      <c r="M7" s="2" t="inlineStr">
        <is>
          <t>11/08/2026</t>
        </is>
      </c>
    </row>
    <row r="8">
      <c r="A8" s="2" t="n">
        <v>82041</v>
      </c>
      <c r="B8" s="2" t="inlineStr">
        <is>
          <t>7896006290216</t>
        </is>
      </c>
      <c r="C8" s="2" t="inlineStr"/>
      <c r="D8" s="2" t="inlineStr"/>
      <c r="E8" s="2" t="inlineStr"/>
      <c r="F8" s="2" t="inlineStr">
        <is>
          <t>LACRIFILM 5MG/ML SOL OFT FR GTS 15ML</t>
        </is>
      </c>
      <c r="G8" s="2" t="inlineStr">
        <is>
          <t>RX - OTC</t>
        </is>
      </c>
      <c r="H8" s="2" t="inlineStr">
        <is>
          <t>B</t>
        </is>
      </c>
      <c r="I8" s="3" t="n">
        <v>1</v>
      </c>
      <c r="J8" s="3" t="n">
        <v>3</v>
      </c>
      <c r="K8" s="3" t="n">
        <v>3</v>
      </c>
      <c r="L8" s="4" t="n">
        <v>33.61</v>
      </c>
      <c r="M8" s="2" t="inlineStr">
        <is>
          <t>30/07/2026</t>
        </is>
      </c>
    </row>
    <row r="9">
      <c r="A9" s="2" t="n">
        <v>82061</v>
      </c>
      <c r="B9" s="2" t="inlineStr">
        <is>
          <t>7898636192182</t>
        </is>
      </c>
      <c r="C9" s="2" t="inlineStr"/>
      <c r="D9" s="2" t="inlineStr"/>
      <c r="E9" s="2" t="inlineStr"/>
      <c r="F9" s="2" t="inlineStr">
        <is>
          <t>LIRIS 5MG/ML SOL OFT FR 10ML</t>
        </is>
      </c>
      <c r="G9" s="2" t="inlineStr">
        <is>
          <t>RX - OTC</t>
        </is>
      </c>
      <c r="H9" s="2" t="inlineStr">
        <is>
          <t>B</t>
        </is>
      </c>
      <c r="I9" s="3" t="n">
        <v>1</v>
      </c>
      <c r="J9" s="3" t="n">
        <v>2</v>
      </c>
      <c r="K9" s="3" t="n">
        <v>2</v>
      </c>
      <c r="L9" s="4" t="n">
        <v>28</v>
      </c>
      <c r="M9" s="2" t="inlineStr">
        <is>
          <t>18/05/2026</t>
        </is>
      </c>
    </row>
    <row r="10">
      <c r="A10" s="2" t="n">
        <v>599161</v>
      </c>
      <c r="B10" s="2" t="inlineStr">
        <is>
          <t>7896006201618</t>
        </is>
      </c>
      <c r="C10" s="2" t="inlineStr"/>
      <c r="D10" s="2" t="inlineStr"/>
      <c r="E10" s="2" t="inlineStr"/>
      <c r="F10" s="2" t="inlineStr">
        <is>
          <t>MICROVLAR 0,15+0,03MG CX 21 DRG</t>
        </is>
      </c>
      <c r="G10" s="2" t="inlineStr">
        <is>
          <t>RX</t>
        </is>
      </c>
      <c r="H10" s="2" t="inlineStr">
        <is>
          <t>B</t>
        </is>
      </c>
      <c r="I10" s="3" t="n">
        <v>1</v>
      </c>
      <c r="J10" s="3" t="n">
        <v>3</v>
      </c>
      <c r="K10" s="3" t="n">
        <v>3</v>
      </c>
      <c r="L10" s="4" t="n">
        <v>7.91</v>
      </c>
      <c r="M10" s="2" t="inlineStr">
        <is>
          <t>11/08/2026</t>
        </is>
      </c>
    </row>
    <row r="11">
      <c r="A11" s="2" t="n">
        <v>560981</v>
      </c>
      <c r="B11" s="2" t="inlineStr">
        <is>
          <t>7896006201632</t>
        </is>
      </c>
      <c r="C11" s="2" t="inlineStr"/>
      <c r="D11" s="2" t="inlineStr"/>
      <c r="E11" s="2" t="inlineStr"/>
      <c r="F11" s="2" t="inlineStr">
        <is>
          <t>MICROVLAR 0,15+0,03MG CX 63 DRG</t>
        </is>
      </c>
      <c r="G11" s="2" t="inlineStr">
        <is>
          <t>RX</t>
        </is>
      </c>
      <c r="H11" s="2" t="inlineStr">
        <is>
          <t>B</t>
        </is>
      </c>
      <c r="I11" s="3" t="n">
        <v>1</v>
      </c>
      <c r="J11" s="3" t="n">
        <v>1</v>
      </c>
      <c r="K11" s="3" t="n">
        <v>1</v>
      </c>
      <c r="L11" s="4" t="n">
        <v>22.8966666666667</v>
      </c>
      <c r="M11" s="2" t="inlineStr">
        <is>
          <t>20/08/2026</t>
        </is>
      </c>
    </row>
    <row r="12">
      <c r="A12" s="2" t="n">
        <v>256921</v>
      </c>
      <c r="B12" s="2" t="inlineStr">
        <is>
          <t>7896006222620</t>
        </is>
      </c>
      <c r="C12" s="2" t="inlineStr"/>
      <c r="D12" s="2" t="inlineStr"/>
      <c r="E12" s="2" t="inlineStr"/>
      <c r="F12" s="2" t="inlineStr">
        <is>
          <t>OCTIFEN 0,25MG SOL OFT FR 5ML</t>
        </is>
      </c>
      <c r="G12" s="2" t="inlineStr">
        <is>
          <t>RX</t>
        </is>
      </c>
      <c r="H12" s="2" t="inlineStr">
        <is>
          <t>A</t>
        </is>
      </c>
      <c r="I12" s="3" t="n">
        <v>1</v>
      </c>
      <c r="J12" s="3" t="n">
        <v>5</v>
      </c>
      <c r="K12" s="3" t="n">
        <v>5</v>
      </c>
      <c r="L12" s="4" t="n">
        <v>27.15</v>
      </c>
      <c r="M12" s="2" t="inlineStr">
        <is>
          <t>11/08/2026</t>
        </is>
      </c>
    </row>
    <row r="13">
      <c r="A13" s="2" t="n">
        <v>596751</v>
      </c>
      <c r="B13" s="2" t="inlineStr">
        <is>
          <t>7896006201731</t>
        </is>
      </c>
      <c r="C13" s="2" t="inlineStr"/>
      <c r="D13" s="2" t="inlineStr"/>
      <c r="E13" s="2" t="inlineStr"/>
      <c r="F13" s="2" t="inlineStr">
        <is>
          <t>PRIMOSISTON 2+0,01MG CX 30 COMP</t>
        </is>
      </c>
      <c r="G13" s="2" t="inlineStr">
        <is>
          <t>RX</t>
        </is>
      </c>
      <c r="H13" s="2" t="inlineStr">
        <is>
          <t>A</t>
        </is>
      </c>
      <c r="I13" s="3" t="n">
        <v>1</v>
      </c>
      <c r="J13" s="3" t="n">
        <v>8</v>
      </c>
      <c r="K13" s="3" t="n">
        <v>8</v>
      </c>
      <c r="L13" s="4" t="n">
        <v>37.175</v>
      </c>
      <c r="M13" s="2" t="inlineStr">
        <is>
          <t>17/07/2026</t>
        </is>
      </c>
    </row>
    <row r="14">
      <c r="A14" s="2" t="n">
        <v>366041</v>
      </c>
      <c r="B14" s="2" t="inlineStr">
        <is>
          <t>7896006205913</t>
        </is>
      </c>
      <c r="C14" s="2" t="inlineStr"/>
      <c r="D14" s="2" t="inlineStr"/>
      <c r="E14" s="2" t="inlineStr"/>
      <c r="F14" s="2" t="inlineStr">
        <is>
          <t>PV VODOL 20MG/G AER TB 75G</t>
        </is>
      </c>
      <c r="G14" s="2" t="inlineStr">
        <is>
          <t>RX - OTC</t>
        </is>
      </c>
      <c r="H14" s="2" t="inlineStr">
        <is>
          <t>C</t>
        </is>
      </c>
      <c r="I14" s="3" t="n">
        <v>1</v>
      </c>
      <c r="J14" s="3" t="n">
        <v>1</v>
      </c>
      <c r="K14" s="3" t="n">
        <v>1</v>
      </c>
      <c r="L14" s="4" t="n">
        <v>51.27</v>
      </c>
      <c r="M14" s="2" t="inlineStr">
        <is>
          <t>30/07/2026</t>
        </is>
      </c>
    </row>
    <row r="15">
      <c r="A15" s="2" t="n">
        <v>622811</v>
      </c>
      <c r="B15" s="2" t="inlineStr">
        <is>
          <t>7896006219545</t>
        </is>
      </c>
      <c r="C15" s="2" t="inlineStr"/>
      <c r="D15" s="2" t="inlineStr"/>
      <c r="E15" s="2" t="inlineStr"/>
      <c r="F15" s="2" t="inlineStr">
        <is>
          <t>SLOW-K 600MG CX 20 COMP REV LIB PROL</t>
        </is>
      </c>
      <c r="G15" s="2" t="inlineStr">
        <is>
          <t>RX</t>
        </is>
      </c>
      <c r="H15" s="2" t="inlineStr">
        <is>
          <t>C</t>
        </is>
      </c>
      <c r="I15" s="3" t="n">
        <v>1</v>
      </c>
      <c r="J15" s="3" t="n">
        <v>1</v>
      </c>
      <c r="K15" s="3" t="n">
        <v>1</v>
      </c>
      <c r="L15" s="4" t="n">
        <v>15.13</v>
      </c>
      <c r="M15" s="2" t="inlineStr">
        <is>
          <t>27/08/2025</t>
        </is>
      </c>
    </row>
    <row r="16">
      <c r="A16" s="2" t="n">
        <v>613581</v>
      </c>
      <c r="B16" s="2" t="inlineStr">
        <is>
          <t>7896006200932</t>
        </is>
      </c>
      <c r="C16" s="2" t="inlineStr"/>
      <c r="D16" s="2" t="inlineStr"/>
      <c r="E16" s="2" t="inlineStr"/>
      <c r="F16" s="2" t="inlineStr">
        <is>
          <t>SOLARDRIL LOCAO FR X 120 ML</t>
        </is>
      </c>
      <c r="G16" s="2" t="inlineStr">
        <is>
          <t>RX - DERMO</t>
        </is>
      </c>
      <c r="H16" s="2" t="inlineStr">
        <is>
          <t>C</t>
        </is>
      </c>
      <c r="I16" s="3" t="n">
        <v>1</v>
      </c>
      <c r="J16" s="3" t="n">
        <v>1</v>
      </c>
      <c r="K16" s="3" t="n">
        <v>1</v>
      </c>
      <c r="L16" s="4" t="n">
        <v>18.5833333333333</v>
      </c>
      <c r="M16" s="2" t="inlineStr">
        <is>
          <t>06/10/2023</t>
        </is>
      </c>
    </row>
    <row r="17">
      <c r="A17" s="2" t="n">
        <v>7201</v>
      </c>
      <c r="B17" s="2" t="inlineStr">
        <is>
          <t>7896006290988</t>
        </is>
      </c>
      <c r="C17" s="2" t="inlineStr"/>
      <c r="D17" s="2" t="inlineStr"/>
      <c r="E17" s="2" t="inlineStr"/>
      <c r="F17" s="2" t="inlineStr">
        <is>
          <t>STER 10MG SUS OFT COL FR 5ML</t>
        </is>
      </c>
      <c r="G17" s="2" t="inlineStr">
        <is>
          <t>RX</t>
        </is>
      </c>
      <c r="H17" s="2" t="inlineStr">
        <is>
          <t>B</t>
        </is>
      </c>
      <c r="I17" s="3" t="n">
        <v>1</v>
      </c>
      <c r="J17" s="3" t="n">
        <v>1</v>
      </c>
      <c r="K17" s="3" t="n">
        <v>1</v>
      </c>
      <c r="L17" s="4" t="n">
        <v>25.16</v>
      </c>
      <c r="M17" s="2" t="inlineStr">
        <is>
          <t>20/08/2026</t>
        </is>
      </c>
    </row>
    <row r="18">
      <c r="A18" s="2" t="n">
        <v>516661</v>
      </c>
      <c r="B18" s="2" t="inlineStr">
        <is>
          <t>7896006221043</t>
        </is>
      </c>
      <c r="C18" s="2" t="inlineStr"/>
      <c r="D18" s="2" t="inlineStr"/>
      <c r="E18" s="2" t="inlineStr"/>
      <c r="F18" s="2" t="inlineStr">
        <is>
          <t>TESS 2+0,035MG CX 21 COMP REV</t>
        </is>
      </c>
      <c r="G18" s="2" t="inlineStr">
        <is>
          <t>RX</t>
        </is>
      </c>
      <c r="H18" s="2" t="inlineStr">
        <is>
          <t>B</t>
        </is>
      </c>
      <c r="I18" s="3" t="n">
        <v>1</v>
      </c>
      <c r="J18" s="3" t="n">
        <v>1</v>
      </c>
      <c r="K18" s="3" t="n">
        <v>1</v>
      </c>
      <c r="L18" s="4" t="n">
        <v>21.715</v>
      </c>
      <c r="M18" s="2" t="inlineStr">
        <is>
          <t>10/08/2026</t>
        </is>
      </c>
    </row>
    <row r="19">
      <c r="F19" s="5" t="inlineStr">
        <is>
          <t>TOTAL</t>
        </is>
      </c>
      <c r="J19" s="6">
        <f>SUM(J2:J18)</f>
        <v/>
      </c>
      <c r="K19" s="6">
        <f>SUM(K2:K18)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2026-09-04T22:08:24Z</dcterms:created>
  <dcterms:modified xsi:type="dcterms:W3CDTF">2026-09-04T22:08:24Z</dcterms:modified>
</cp:coreProperties>
</file>