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42" customWidth="1" min="4" max="4"/>
    <col width="42" customWidth="1" min="5" max="5"/>
    <col width="7" customWidth="1" min="6" max="6"/>
    <col width="9" customWidth="1" min="7" max="7"/>
    <col width="9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9" customWidth="1" min="14" max="14"/>
    <col width="20" customWidth="1" min="15" max="15"/>
    <col width="26" customWidth="1" min="16" max="16"/>
  </cols>
  <sheetData>
    <row r="1" ht="28" customHeight="1">
      <c r="A1" s="1" t="inlineStr">
        <is>
          <t>Cód. distribuidor</t>
        </is>
      </c>
      <c r="B1" s="1" t="inlineStr">
        <is>
          <t>Cód. interno</t>
        </is>
      </c>
      <c r="C1" s="1" t="inlineStr">
        <is>
          <t>EAN</t>
        </is>
      </c>
      <c r="D1" s="1" t="inlineStr">
        <is>
          <t>Produto (distribuidor)</t>
        </is>
      </c>
      <c r="E1" s="1" t="inlineStr">
        <is>
          <t>Produto (controle)</t>
        </is>
      </c>
      <c r="F1" s="1" t="inlineStr">
        <is>
          <t>Un/Cx</t>
        </is>
      </c>
      <c r="G1" s="1" t="inlineStr">
        <is>
          <t>Qtd pedido</t>
        </is>
      </c>
      <c r="H1" s="1" t="inlineStr">
        <is>
          <t>Un. totais</t>
        </is>
      </c>
      <c r="I1" s="1" t="inlineStr">
        <is>
          <t>Preço cotado</t>
        </is>
      </c>
      <c r="J1" s="1" t="inlineStr">
        <is>
          <t>Total</t>
        </is>
      </c>
      <c r="K1" s="1" t="inlineStr">
        <is>
          <t>Preço un. equiv.</t>
        </is>
      </c>
      <c r="L1" s="1" t="inlineStr">
        <is>
          <t>Últ. compra (un)</t>
        </is>
      </c>
      <c r="M1" s="1" t="inlineStr">
        <is>
          <t>Menor hist. (un)</t>
        </is>
      </c>
      <c r="N1" s="1" t="inlineStr">
        <is>
          <t>Dif. %</t>
        </is>
      </c>
      <c r="O1" s="1" t="inlineStr">
        <is>
          <t>Status</t>
        </is>
      </c>
      <c r="P1" s="1" t="inlineStr">
        <is>
          <t>Obs</t>
        </is>
      </c>
    </row>
    <row r="2">
      <c r="A2" s="2" t="inlineStr"/>
      <c r="B2" s="2" t="n">
        <v>274461</v>
      </c>
      <c r="C2" s="2" t="inlineStr">
        <is>
          <t>7898040320973</t>
        </is>
      </c>
      <c r="D2" s="2" t="inlineStr"/>
      <c r="E2" s="2" t="inlineStr">
        <is>
          <t>ABRILAR 7MG XPE FR 100ML+CM</t>
        </is>
      </c>
      <c r="F2" s="3" t="n">
        <v>1</v>
      </c>
      <c r="G2" s="3" t="n">
        <v>3</v>
      </c>
      <c r="H2" s="3" t="n">
        <v>3</v>
      </c>
      <c r="I2" s="4" t="n">
        <v>41.0305</v>
      </c>
      <c r="J2" s="4">
        <f>G2*I2</f>
        <v/>
      </c>
      <c r="K2" s="4" t="n">
        <v>41.0305</v>
      </c>
      <c r="L2" s="4" t="n">
        <v>42.64</v>
      </c>
      <c r="M2" s="4" t="n">
        <v>33.1775</v>
      </c>
      <c r="N2" s="5">
        <f>K2/L2-1</f>
        <v/>
      </c>
      <c r="O2" s="6" t="inlineStr">
        <is>
          <t>OK (≤ últ. compra)</t>
        </is>
      </c>
      <c r="P2" s="2" t="inlineStr"/>
    </row>
    <row r="3">
      <c r="A3" s="2" t="inlineStr"/>
      <c r="B3" s="2" t="n">
        <v>621421</v>
      </c>
      <c r="C3" s="2" t="inlineStr">
        <is>
          <t>3282770206050</t>
        </is>
      </c>
      <c r="D3" s="2" t="inlineStr"/>
      <c r="E3" s="2" t="inlineStr">
        <is>
          <t>ACTINE PROT SOLAR FPS60 COR 40G</t>
        </is>
      </c>
      <c r="F3" s="3" t="n">
        <v>1</v>
      </c>
      <c r="G3" s="3" t="n">
        <v>1</v>
      </c>
      <c r="H3" s="3" t="n">
        <v>1</v>
      </c>
      <c r="I3" s="4" t="n">
        <v>67.03</v>
      </c>
      <c r="J3" s="4">
        <f>G3*I3</f>
        <v/>
      </c>
      <c r="K3" s="4" t="n">
        <v>67.03</v>
      </c>
      <c r="L3" s="4" t="n">
        <v>54.91</v>
      </c>
      <c r="M3" s="4" t="n">
        <v>54.91</v>
      </c>
      <c r="N3" s="5">
        <f>K3/L3-1</f>
        <v/>
      </c>
      <c r="O3" s="7" t="inlineStr">
        <is>
          <t>ACIMA +22.1% (vs últ. compra)</t>
        </is>
      </c>
      <c r="P3" s="2" t="inlineStr"/>
    </row>
    <row r="4">
      <c r="A4" s="2" t="inlineStr"/>
      <c r="B4" s="2" t="n">
        <v>884</v>
      </c>
      <c r="C4" s="2" t="inlineStr">
        <is>
          <t>7892828002303</t>
        </is>
      </c>
      <c r="D4" s="2" t="inlineStr"/>
      <c r="E4" s="2" t="inlineStr">
        <is>
          <t>ADEFORTE TURBO USO ORAL 2AMP 3ML</t>
        </is>
      </c>
      <c r="F4" s="3" t="n">
        <v>1</v>
      </c>
      <c r="G4" s="3" t="n">
        <v>8</v>
      </c>
      <c r="H4" s="3" t="n">
        <v>8</v>
      </c>
      <c r="I4" s="4" t="n">
        <v>44.79</v>
      </c>
      <c r="J4" s="4">
        <f>G4*I4</f>
        <v/>
      </c>
      <c r="K4" s="4" t="n">
        <v>44.79</v>
      </c>
      <c r="L4" s="4" t="n">
        <v>44.79</v>
      </c>
      <c r="M4" s="4" t="n">
        <v>30.3708</v>
      </c>
      <c r="N4" s="5">
        <f>K4/L4-1</f>
        <v/>
      </c>
      <c r="O4" s="6" t="inlineStr">
        <is>
          <t>OK (≤ últ. compra)</t>
        </is>
      </c>
      <c r="P4" s="2" t="inlineStr"/>
    </row>
    <row r="5">
      <c r="A5" s="2" t="inlineStr"/>
      <c r="B5" s="2" t="n">
        <v>647221</v>
      </c>
      <c r="C5" s="2" t="inlineStr">
        <is>
          <t>7896023705397</t>
        </is>
      </c>
      <c r="D5" s="2" t="inlineStr"/>
      <c r="E5" s="2" t="inlineStr">
        <is>
          <t>AGUA INGLESA 500ML</t>
        </is>
      </c>
      <c r="F5" s="3" t="n">
        <v>1</v>
      </c>
      <c r="G5" s="3" t="n">
        <v>4</v>
      </c>
      <c r="H5" s="3" t="n">
        <v>4</v>
      </c>
      <c r="I5" s="4" t="n">
        <v>25.83</v>
      </c>
      <c r="J5" s="4">
        <f>G5*I5</f>
        <v/>
      </c>
      <c r="K5" s="4" t="n">
        <v>25.83</v>
      </c>
      <c r="L5" s="4" t="n">
        <v>22.12</v>
      </c>
      <c r="M5" s="4" t="n">
        <v>22.12</v>
      </c>
      <c r="N5" s="5">
        <f>K5/L5-1</f>
        <v/>
      </c>
      <c r="O5" s="7" t="inlineStr">
        <is>
          <t>ACIMA +16.8% (vs últ. compra)</t>
        </is>
      </c>
      <c r="P5" s="2" t="inlineStr"/>
    </row>
    <row r="6">
      <c r="A6" s="2" t="inlineStr"/>
      <c r="B6" s="2" t="n">
        <v>367361</v>
      </c>
      <c r="C6" s="2" t="inlineStr">
        <is>
          <t>7891721023965</t>
        </is>
      </c>
      <c r="D6" s="2" t="inlineStr"/>
      <c r="E6" s="2" t="inlineStr">
        <is>
          <t>ALGINAC 1,0+100,0+100,0MG CX 10 COMP REV LIB RETARD</t>
        </is>
      </c>
      <c r="F6" s="3" t="n">
        <v>1</v>
      </c>
      <c r="G6" s="3" t="n">
        <v>4</v>
      </c>
      <c r="H6" s="3" t="n">
        <v>4</v>
      </c>
      <c r="I6" s="4" t="n">
        <v>51.0968</v>
      </c>
      <c r="J6" s="4">
        <f>G6*I6</f>
        <v/>
      </c>
      <c r="K6" s="4" t="n">
        <v>51.0968</v>
      </c>
      <c r="L6" s="4" t="n">
        <v>51.9466666666667</v>
      </c>
      <c r="M6" s="4" t="n">
        <v>43.42</v>
      </c>
      <c r="N6" s="5">
        <f>K6/L6-1</f>
        <v/>
      </c>
      <c r="O6" s="6" t="inlineStr">
        <is>
          <t>OK (≤ últ. compra)</t>
        </is>
      </c>
      <c r="P6" s="2" t="inlineStr"/>
    </row>
    <row r="7">
      <c r="A7" s="2" t="inlineStr"/>
      <c r="B7" s="2" t="n">
        <v>367421</v>
      </c>
      <c r="C7" s="2" t="inlineStr">
        <is>
          <t>7891721029646</t>
        </is>
      </c>
      <c r="D7" s="2" t="inlineStr"/>
      <c r="E7" s="2" t="inlineStr">
        <is>
          <t>ALGINAC 1,0+50,0+50,0MG CX 30 CP</t>
        </is>
      </c>
      <c r="F7" s="3" t="n">
        <v>1</v>
      </c>
      <c r="G7" s="3" t="n">
        <v>1</v>
      </c>
      <c r="H7" s="3" t="n">
        <v>1</v>
      </c>
      <c r="I7" s="4" t="n">
        <v>52.0812</v>
      </c>
      <c r="J7" s="4">
        <f>G7*I7</f>
        <v/>
      </c>
      <c r="K7" s="4" t="n">
        <v>52.0812</v>
      </c>
      <c r="L7" s="4" t="n">
        <v>50.34</v>
      </c>
      <c r="M7" s="4" t="n">
        <v>45.91</v>
      </c>
      <c r="N7" s="5">
        <f>K7/L7-1</f>
        <v/>
      </c>
      <c r="O7" s="7" t="inlineStr">
        <is>
          <t>ACIMA +3.5% (vs últ. compra)</t>
        </is>
      </c>
      <c r="P7" s="2" t="inlineStr"/>
    </row>
    <row r="8">
      <c r="A8" s="2" t="inlineStr"/>
      <c r="B8" s="2" t="n">
        <v>364361</v>
      </c>
      <c r="C8" s="2" t="inlineStr">
        <is>
          <t>7898040321420</t>
        </is>
      </c>
      <c r="D8" s="2" t="inlineStr"/>
      <c r="E8" s="2" t="inlineStr">
        <is>
          <t>ANNITA 20MG/ML PO SUS ORAL FR 45ML</t>
        </is>
      </c>
      <c r="F8" s="3" t="n">
        <v>1</v>
      </c>
      <c r="G8" s="3" t="n">
        <v>2</v>
      </c>
      <c r="H8" s="3" t="n">
        <v>2</v>
      </c>
      <c r="I8" s="4" t="n">
        <v>24.434</v>
      </c>
      <c r="J8" s="4">
        <f>G8*I8</f>
        <v/>
      </c>
      <c r="K8" s="4" t="n">
        <v>24.434</v>
      </c>
      <c r="L8" s="4" t="n">
        <v>25.125</v>
      </c>
      <c r="M8" s="4" t="n">
        <v>21.8625</v>
      </c>
      <c r="N8" s="5">
        <f>K8/L8-1</f>
        <v/>
      </c>
      <c r="O8" s="6" t="inlineStr">
        <is>
          <t>OK (≤ últ. compra)</t>
        </is>
      </c>
      <c r="P8" s="2" t="inlineStr"/>
    </row>
    <row r="9">
      <c r="A9" s="2" t="inlineStr"/>
      <c r="B9" s="2" t="n">
        <v>637931</v>
      </c>
      <c r="C9" s="2" t="inlineStr">
        <is>
          <t>7898968453098</t>
        </is>
      </c>
      <c r="D9" s="2" t="inlineStr"/>
      <c r="E9" s="2" t="inlineStr">
        <is>
          <t>ATENSINA 0,100MG CX 30 COMP</t>
        </is>
      </c>
      <c r="F9" s="3" t="n">
        <v>1</v>
      </c>
      <c r="G9" s="3" t="n">
        <v>1</v>
      </c>
      <c r="H9" s="3" t="n">
        <v>1</v>
      </c>
      <c r="I9" s="4" t="n">
        <v>8.01</v>
      </c>
      <c r="J9" s="4">
        <f>G9*I9</f>
        <v/>
      </c>
      <c r="K9" s="4" t="n">
        <v>8.01</v>
      </c>
      <c r="L9" s="4" t="n">
        <v>7.045</v>
      </c>
      <c r="M9" s="4" t="n">
        <v>7.045</v>
      </c>
      <c r="N9" s="5">
        <f>K9/L9-1</f>
        <v/>
      </c>
      <c r="O9" s="7" t="inlineStr">
        <is>
          <t>ACIMA +13.7% (vs últ. compra)</t>
        </is>
      </c>
      <c r="P9" s="2" t="inlineStr"/>
    </row>
    <row r="10">
      <c r="A10" s="2" t="inlineStr"/>
      <c r="B10" s="2" t="n">
        <v>488841</v>
      </c>
      <c r="C10" s="2" t="inlineStr">
        <is>
          <t>7891317010287</t>
        </is>
      </c>
      <c r="D10" s="2" t="inlineStr"/>
      <c r="E10" s="2" t="inlineStr">
        <is>
          <t>ATTENZE 10MG CX 30 COMP</t>
        </is>
      </c>
      <c r="F10" s="3" t="n">
        <v>1</v>
      </c>
      <c r="G10" s="3" t="n">
        <v>1</v>
      </c>
      <c r="H10" s="3" t="n">
        <v>1</v>
      </c>
      <c r="I10" s="4" t="n">
        <v>39.3792</v>
      </c>
      <c r="J10" s="4">
        <f>G10*I10</f>
        <v/>
      </c>
      <c r="K10" s="4" t="n">
        <v>39.3792</v>
      </c>
      <c r="L10" s="4" t="n">
        <v>32.7783333333333</v>
      </c>
      <c r="M10" s="4" t="n">
        <v>32.7783</v>
      </c>
      <c r="N10" s="5">
        <f>K10/L10-1</f>
        <v/>
      </c>
      <c r="O10" s="7" t="inlineStr">
        <is>
          <t>ACIMA +20.1% (vs últ. compra)</t>
        </is>
      </c>
      <c r="P10" s="2" t="inlineStr"/>
    </row>
    <row r="11">
      <c r="A11" s="2" t="inlineStr"/>
      <c r="B11" s="2" t="n">
        <v>645591</v>
      </c>
      <c r="C11" s="2" t="inlineStr">
        <is>
          <t>7898040328603</t>
        </is>
      </c>
      <c r="D11" s="2" t="inlineStr"/>
      <c r="E11" s="2" t="inlineStr">
        <is>
          <t>BACTRIM F CX 10 COMP</t>
        </is>
      </c>
      <c r="F11" s="3" t="n">
        <v>1</v>
      </c>
      <c r="G11" s="3" t="n">
        <v>5</v>
      </c>
      <c r="H11" s="3" t="n">
        <v>5</v>
      </c>
      <c r="I11" s="4" t="n">
        <v>27.455</v>
      </c>
      <c r="J11" s="4">
        <f>G11*I11</f>
        <v/>
      </c>
      <c r="K11" s="4" t="n">
        <v>27.455</v>
      </c>
      <c r="L11" s="4" t="n">
        <v>27.55</v>
      </c>
      <c r="M11" s="4" t="n">
        <v>24.63</v>
      </c>
      <c r="N11" s="5">
        <f>K11/L11-1</f>
        <v/>
      </c>
      <c r="O11" s="6" t="inlineStr">
        <is>
          <t>OK (≤ últ. compra)</t>
        </is>
      </c>
      <c r="P11" s="2" t="inlineStr"/>
    </row>
    <row r="12">
      <c r="A12" s="2" t="inlineStr"/>
      <c r="B12" s="2" t="n">
        <v>600551</v>
      </c>
      <c r="C12" s="2" t="inlineStr">
        <is>
          <t>7898040329761</t>
        </is>
      </c>
      <c r="D12" s="2" t="inlineStr"/>
      <c r="E12" s="2" t="inlineStr">
        <is>
          <t>CALCITRAN B12 SUSP FR 150ML</t>
        </is>
      </c>
      <c r="F12" s="3" t="n">
        <v>1</v>
      </c>
      <c r="G12" s="3" t="n">
        <v>1</v>
      </c>
      <c r="H12" s="3" t="n">
        <v>1</v>
      </c>
      <c r="I12" s="4" t="n">
        <v>34.89</v>
      </c>
      <c r="J12" s="4">
        <f>G12*I12</f>
        <v/>
      </c>
      <c r="K12" s="4" t="n">
        <v>34.89</v>
      </c>
      <c r="L12" s="4" t="n">
        <v>34.35</v>
      </c>
      <c r="M12" s="4" t="n">
        <v>31.035</v>
      </c>
      <c r="N12" s="5">
        <f>K12/L12-1</f>
        <v/>
      </c>
      <c r="O12" s="7" t="inlineStr">
        <is>
          <t>ACIMA +1.6% (vs últ. compra)</t>
        </is>
      </c>
      <c r="P12" s="2" t="inlineStr"/>
    </row>
    <row r="13">
      <c r="A13" s="2" t="inlineStr"/>
      <c r="B13" s="2" t="n">
        <v>669751</v>
      </c>
      <c r="C13" s="2" t="inlineStr">
        <is>
          <t>7899706159197</t>
        </is>
      </c>
      <c r="D13" s="2" t="inlineStr"/>
      <c r="E13" s="2" t="inlineStr">
        <is>
          <t>CERAVE CREME HIDRATANTE 454G-DEMAIS PROD</t>
        </is>
      </c>
      <c r="F13" s="3" t="n">
        <v>1</v>
      </c>
      <c r="G13" s="3" t="n">
        <v>1</v>
      </c>
      <c r="H13" s="3" t="n">
        <v>1</v>
      </c>
      <c r="I13" s="4" t="n">
        <v>108.19</v>
      </c>
      <c r="J13" s="4">
        <f>G13*I13</f>
        <v/>
      </c>
      <c r="K13" s="4" t="n">
        <v>108.19</v>
      </c>
      <c r="L13" s="4" t="n">
        <v>93.34</v>
      </c>
      <c r="M13" s="4" t="n">
        <v>88.84999999999999</v>
      </c>
      <c r="N13" s="5">
        <f>K13/L13-1</f>
        <v/>
      </c>
      <c r="O13" s="7" t="inlineStr">
        <is>
          <t>ACIMA +15.9% (vs últ. compra)</t>
        </is>
      </c>
      <c r="P13" s="2" t="inlineStr"/>
    </row>
    <row r="14">
      <c r="A14" s="2" t="inlineStr"/>
      <c r="B14" s="2" t="n">
        <v>637261</v>
      </c>
      <c r="C14" s="2" t="inlineStr">
        <is>
          <t>7899706159272</t>
        </is>
      </c>
      <c r="D14" s="2" t="inlineStr"/>
      <c r="E14" s="2" t="inlineStr">
        <is>
          <t>CERAVE LOCAO HIDRATANTE 473ML-DEMAIS PROD</t>
        </is>
      </c>
      <c r="F14" s="3" t="n">
        <v>1</v>
      </c>
      <c r="G14" s="3" t="n">
        <v>2</v>
      </c>
      <c r="H14" s="3" t="n">
        <v>2</v>
      </c>
      <c r="I14" s="4" t="n">
        <v>108.19</v>
      </c>
      <c r="J14" s="4">
        <f>G14*I14</f>
        <v/>
      </c>
      <c r="K14" s="4" t="n">
        <v>108.19</v>
      </c>
      <c r="L14" s="4" t="n">
        <v>103.71</v>
      </c>
      <c r="M14" s="4" t="n">
        <v>89.84</v>
      </c>
      <c r="N14" s="5">
        <f>K14/L14-1</f>
        <v/>
      </c>
      <c r="O14" s="7" t="inlineStr">
        <is>
          <t>ACIMA +4.3% (vs últ. compra)</t>
        </is>
      </c>
      <c r="P14" s="2" t="inlineStr"/>
    </row>
    <row r="15">
      <c r="A15" s="2" t="inlineStr"/>
      <c r="B15" s="2" t="n">
        <v>399321</v>
      </c>
      <c r="C15" s="2" t="inlineStr">
        <is>
          <t>7899420506918</t>
        </is>
      </c>
      <c r="D15" s="2" t="inlineStr"/>
      <c r="E15" s="2" t="inlineStr">
        <is>
          <t>COD PAR 500+30MG CX 12 COMP</t>
        </is>
      </c>
      <c r="F15" s="3" t="n">
        <v>1</v>
      </c>
      <c r="G15" s="3" t="n">
        <v>1</v>
      </c>
      <c r="H15" s="3" t="n">
        <v>1</v>
      </c>
      <c r="I15" s="4" t="n">
        <v>25.4784</v>
      </c>
      <c r="J15" s="4">
        <f>G15*I15</f>
        <v/>
      </c>
      <c r="K15" s="4" t="n">
        <v>25.4784</v>
      </c>
      <c r="L15" s="4" t="n">
        <v>23.005</v>
      </c>
      <c r="M15" s="4" t="n">
        <v>23.005</v>
      </c>
      <c r="N15" s="5">
        <f>K15/L15-1</f>
        <v/>
      </c>
      <c r="O15" s="7" t="inlineStr">
        <is>
          <t>ACIMA +10.8% (vs últ. compra)</t>
        </is>
      </c>
      <c r="P15" s="2" t="inlineStr"/>
    </row>
    <row r="16">
      <c r="A16" s="2" t="inlineStr"/>
      <c r="B16" s="2" t="n">
        <v>594521</v>
      </c>
      <c r="C16" s="2" t="inlineStr">
        <is>
          <t>0000042360407</t>
        </is>
      </c>
      <c r="D16" s="2" t="inlineStr"/>
      <c r="E16" s="2" t="inlineStr">
        <is>
          <t>CR FACIAL NIVEA NUTRITIVO 100G</t>
        </is>
      </c>
      <c r="F16" s="3" t="n">
        <v>1</v>
      </c>
      <c r="G16" s="3" t="n">
        <v>2</v>
      </c>
      <c r="H16" s="3" t="n">
        <v>2</v>
      </c>
      <c r="I16" s="4" t="n">
        <v>29.99</v>
      </c>
      <c r="J16" s="4">
        <f>G16*I16</f>
        <v/>
      </c>
      <c r="K16" s="4" t="n">
        <v>29.99</v>
      </c>
      <c r="L16" s="4" t="n">
        <v>23.392</v>
      </c>
      <c r="M16" s="4" t="n">
        <v>20.9117</v>
      </c>
      <c r="N16" s="5">
        <f>K16/L16-1</f>
        <v/>
      </c>
      <c r="O16" s="7" t="inlineStr">
        <is>
          <t>ACIMA +28.2% (vs últ. compra)</t>
        </is>
      </c>
      <c r="P16" s="2" t="inlineStr"/>
    </row>
    <row r="17">
      <c r="A17" s="2" t="inlineStr"/>
      <c r="B17" s="2" t="n">
        <v>576481</v>
      </c>
      <c r="C17" s="2" t="inlineStr">
        <is>
          <t>4005808890590</t>
        </is>
      </c>
      <c r="D17" s="2" t="inlineStr"/>
      <c r="E17" s="2" t="inlineStr">
        <is>
          <t>CR NIVEA SOFT HIDRAT.97G</t>
        </is>
      </c>
      <c r="F17" s="3" t="n">
        <v>1</v>
      </c>
      <c r="G17" s="3" t="n">
        <v>3</v>
      </c>
      <c r="H17" s="3" t="n">
        <v>3</v>
      </c>
      <c r="I17" s="4" t="n">
        <v>34.14</v>
      </c>
      <c r="J17" s="4">
        <f>G17*I17</f>
        <v/>
      </c>
      <c r="K17" s="4" t="n">
        <v>34.14</v>
      </c>
      <c r="L17" s="4" t="n">
        <v>29.8083333333333</v>
      </c>
      <c r="M17" s="4" t="n">
        <v>29.8083</v>
      </c>
      <c r="N17" s="5">
        <f>K17/L17-1</f>
        <v/>
      </c>
      <c r="O17" s="7" t="inlineStr">
        <is>
          <t>ACIMA +14.5% (vs últ. compra)</t>
        </is>
      </c>
      <c r="P17" s="2" t="inlineStr"/>
    </row>
    <row r="18">
      <c r="A18" s="2" t="inlineStr"/>
      <c r="B18" s="2" t="n">
        <v>666311</v>
      </c>
      <c r="C18" s="2" t="inlineStr">
        <is>
          <t>070341368732</t>
        </is>
      </c>
      <c r="D18" s="2" t="inlineStr"/>
      <c r="E18" s="2" t="inlineStr">
        <is>
          <t>CREME HIDRATANTE 5% MANTEIGA DE KARITE + 5% GLICERINA + 2% NIACINAMIDA PRINCIPIA SKINCARE CH-01 COM</t>
        </is>
      </c>
      <c r="F18" s="3" t="n">
        <v>1</v>
      </c>
      <c r="G18" s="3" t="n">
        <v>1</v>
      </c>
      <c r="H18" s="3" t="n">
        <v>1</v>
      </c>
      <c r="I18" s="4" t="n">
        <v>32.51</v>
      </c>
      <c r="J18" s="4">
        <f>G18*I18</f>
        <v/>
      </c>
      <c r="K18" s="4" t="n">
        <v>32.51</v>
      </c>
      <c r="L18" s="4" t="n">
        <v>27.3</v>
      </c>
      <c r="M18" s="4" t="n">
        <v>27.3</v>
      </c>
      <c r="N18" s="5">
        <f>K18/L18-1</f>
        <v/>
      </c>
      <c r="O18" s="7" t="inlineStr">
        <is>
          <t>ACIMA +19.1% (vs últ. compra)</t>
        </is>
      </c>
      <c r="P18" s="2" t="inlineStr"/>
    </row>
    <row r="19">
      <c r="A19" s="2" t="inlineStr"/>
      <c r="B19" s="2" t="n">
        <v>198541</v>
      </c>
      <c r="C19" s="2" t="inlineStr">
        <is>
          <t>7897316801390</t>
        </is>
      </c>
      <c r="D19" s="2" t="inlineStr"/>
      <c r="E19" s="2" t="inlineStr">
        <is>
          <t>CROMOLERG 2% SOL OCUL FR 5ML</t>
        </is>
      </c>
      <c r="F19" s="3" t="n">
        <v>1</v>
      </c>
      <c r="G19" s="3" t="n">
        <v>1</v>
      </c>
      <c r="H19" s="3" t="n">
        <v>1</v>
      </c>
      <c r="I19" s="4" t="n">
        <v>11.822</v>
      </c>
      <c r="J19" s="4">
        <f>G19*I19</f>
        <v/>
      </c>
      <c r="K19" s="4" t="n">
        <v>11.822</v>
      </c>
      <c r="L19" s="4" t="n">
        <v>11.5633333333333</v>
      </c>
      <c r="M19" s="4" t="n">
        <v>11.5633</v>
      </c>
      <c r="N19" s="5">
        <f>K19/L19-1</f>
        <v/>
      </c>
      <c r="O19" s="7" t="inlineStr">
        <is>
          <t>ACIMA +2.2% (vs últ. compra)</t>
        </is>
      </c>
      <c r="P19" s="2" t="inlineStr"/>
    </row>
    <row r="20">
      <c r="A20" s="2" t="inlineStr"/>
      <c r="B20" s="2" t="n">
        <v>238741</v>
      </c>
      <c r="C20" s="2" t="inlineStr">
        <is>
          <t>7894916509831</t>
        </is>
      </c>
      <c r="D20" s="2" t="inlineStr"/>
      <c r="E20" s="2" t="inlineStr">
        <is>
          <t>DALYNE 3+0,03MG CAIXA C/ 3 CARTELAS</t>
        </is>
      </c>
      <c r="F20" s="3" t="n">
        <v>1</v>
      </c>
      <c r="G20" s="3" t="n">
        <v>1</v>
      </c>
      <c r="H20" s="3" t="n">
        <v>1</v>
      </c>
      <c r="I20" s="4" t="n">
        <v>91.82400000000001</v>
      </c>
      <c r="J20" s="4">
        <f>G20*I20</f>
        <v/>
      </c>
      <c r="K20" s="4" t="n">
        <v>91.82400000000001</v>
      </c>
      <c r="L20" s="4" t="n">
        <v>31.4766666666667</v>
      </c>
      <c r="M20" s="4" t="n">
        <v>31.4766666666667</v>
      </c>
      <c r="N20" s="5">
        <f>K20/L20-1</f>
        <v/>
      </c>
      <c r="O20" s="7" t="inlineStr">
        <is>
          <t>ACIMA +191.7% (vs últ. compra)</t>
        </is>
      </c>
      <c r="P20" s="2" t="inlineStr"/>
    </row>
    <row r="21">
      <c r="A21" s="2" t="inlineStr"/>
      <c r="B21" s="2" t="n">
        <v>553521</v>
      </c>
      <c r="C21" s="2" t="inlineStr">
        <is>
          <t>7898087340040</t>
        </is>
      </c>
      <c r="D21" s="2" t="inlineStr"/>
      <c r="E21" s="2" t="inlineStr">
        <is>
          <t>DERSANI ORIGINAL LOC OLEOSA 100ML</t>
        </is>
      </c>
      <c r="F21" s="3" t="n">
        <v>1</v>
      </c>
      <c r="G21" s="3" t="n">
        <v>1</v>
      </c>
      <c r="H21" s="3" t="n">
        <v>1</v>
      </c>
      <c r="I21" s="4" t="n">
        <v>49.03</v>
      </c>
      <c r="J21" s="4">
        <f>G21*I21</f>
        <v/>
      </c>
      <c r="K21" s="4" t="n">
        <v>49.03</v>
      </c>
      <c r="L21" s="4" t="n">
        <v>41.44</v>
      </c>
      <c r="M21" s="4" t="n">
        <v>32.02</v>
      </c>
      <c r="N21" s="5">
        <f>K21/L21-1</f>
        <v/>
      </c>
      <c r="O21" s="7" t="inlineStr">
        <is>
          <t>ACIMA +18.3% (vs últ. compra)</t>
        </is>
      </c>
      <c r="P21" s="2" t="inlineStr"/>
    </row>
    <row r="22">
      <c r="A22" s="2" t="inlineStr"/>
      <c r="B22" s="2" t="n">
        <v>41803</v>
      </c>
      <c r="C22" s="2" t="inlineStr">
        <is>
          <t>07891721024481</t>
        </is>
      </c>
      <c r="D22" s="2" t="inlineStr"/>
      <c r="E22" s="2" t="inlineStr">
        <is>
          <t>DEXA-CITONEURIN NFF C/3APX1ML (PGO)</t>
        </is>
      </c>
      <c r="F22" s="3" t="n">
        <v>1</v>
      </c>
      <c r="G22" s="3" t="n">
        <v>3</v>
      </c>
      <c r="H22" s="3" t="n">
        <v>3</v>
      </c>
      <c r="I22" s="4" t="n">
        <v>38.0604</v>
      </c>
      <c r="J22" s="4">
        <f>G22*I22</f>
        <v/>
      </c>
      <c r="K22" s="4" t="n">
        <v>38.0604</v>
      </c>
      <c r="L22" s="4" t="n">
        <v>37.23</v>
      </c>
      <c r="M22" s="4" t="n">
        <v>33.1125</v>
      </c>
      <c r="N22" s="5">
        <f>K22/L22-1</f>
        <v/>
      </c>
      <c r="O22" s="7" t="inlineStr">
        <is>
          <t>ACIMA +2.2% (vs últ. compra)</t>
        </is>
      </c>
      <c r="P22" s="2" t="inlineStr"/>
    </row>
    <row r="23">
      <c r="A23" s="2" t="inlineStr"/>
      <c r="B23" s="2" t="n">
        <v>578141</v>
      </c>
      <c r="C23" s="2" t="inlineStr">
        <is>
          <t>7899824400942</t>
        </is>
      </c>
      <c r="D23" s="2" t="inlineStr"/>
      <c r="E23" s="2" t="inlineStr">
        <is>
          <t>DEXADOR 5000MCG/ML SOL INJ 3AMP X 2ML+3AMP X 1ML</t>
        </is>
      </c>
      <c r="F23" s="3" t="n">
        <v>1</v>
      </c>
      <c r="G23" s="3" t="n">
        <v>1</v>
      </c>
      <c r="H23" s="3" t="n">
        <v>1</v>
      </c>
      <c r="I23" s="4" t="n">
        <v>37.3635</v>
      </c>
      <c r="J23" s="4">
        <f>G23*I23</f>
        <v/>
      </c>
      <c r="K23" s="4" t="n">
        <v>37.3635</v>
      </c>
      <c r="L23" s="4" t="n">
        <v>37.6</v>
      </c>
      <c r="M23" s="4" t="n">
        <v>33.77</v>
      </c>
      <c r="N23" s="5">
        <f>K23/L23-1</f>
        <v/>
      </c>
      <c r="O23" s="6" t="inlineStr">
        <is>
          <t>OK (≤ últ. compra)</t>
        </is>
      </c>
      <c r="P23" s="2" t="inlineStr"/>
    </row>
    <row r="24">
      <c r="A24" s="2" t="inlineStr"/>
      <c r="B24" s="2" t="n">
        <v>207821</v>
      </c>
      <c r="C24" s="2" t="inlineStr">
        <is>
          <t>7896641809026</t>
        </is>
      </c>
      <c r="D24" s="2" t="inlineStr"/>
      <c r="E24" s="2" t="inlineStr">
        <is>
          <t>DEXILANT 60MG CX 30 CAP LIB RETARD</t>
        </is>
      </c>
      <c r="F24" s="3" t="n">
        <v>1</v>
      </c>
      <c r="G24" s="3" t="n">
        <v>6</v>
      </c>
      <c r="H24" s="3" t="n">
        <v>6</v>
      </c>
      <c r="I24" s="4" t="n">
        <v>101.65</v>
      </c>
      <c r="J24" s="4">
        <f>G24*I24</f>
        <v/>
      </c>
      <c r="K24" s="4" t="n">
        <v>101.65</v>
      </c>
      <c r="L24" s="4" t="n">
        <v>89.116</v>
      </c>
      <c r="M24" s="4" t="n">
        <v>89.116</v>
      </c>
      <c r="N24" s="5">
        <f>K24/L24-1</f>
        <v/>
      </c>
      <c r="O24" s="7" t="inlineStr">
        <is>
          <t>ACIMA +14.1% (vs últ. compra)</t>
        </is>
      </c>
      <c r="P24" s="2" t="inlineStr"/>
    </row>
    <row r="25">
      <c r="A25" s="2" t="inlineStr"/>
      <c r="B25" s="2" t="n">
        <v>124261</v>
      </c>
      <c r="C25" s="2" t="inlineStr">
        <is>
          <t>7891317010065</t>
        </is>
      </c>
      <c r="D25" s="2" t="inlineStr"/>
      <c r="E25" s="2" t="inlineStr">
        <is>
          <t>DIUPRESS 25+5MG CX 30 COMP</t>
        </is>
      </c>
      <c r="F25" s="3" t="n">
        <v>1</v>
      </c>
      <c r="G25" s="3" t="n">
        <v>1</v>
      </c>
      <c r="H25" s="3" t="n">
        <v>1</v>
      </c>
      <c r="I25" s="4" t="n">
        <v>33.3024</v>
      </c>
      <c r="J25" s="4">
        <f>G25*I25</f>
        <v/>
      </c>
      <c r="K25" s="4" t="n">
        <v>33.3024</v>
      </c>
      <c r="L25" s="4" t="n">
        <v>32.61</v>
      </c>
      <c r="M25" s="4" t="n">
        <v>31.18</v>
      </c>
      <c r="N25" s="5">
        <f>K25/L25-1</f>
        <v/>
      </c>
      <c r="O25" s="7" t="inlineStr">
        <is>
          <t>ACIMA +2.1% (vs últ. compra)</t>
        </is>
      </c>
      <c r="P25" s="2" t="inlineStr"/>
    </row>
    <row r="26">
      <c r="A26" s="2" t="inlineStr"/>
      <c r="B26" s="2" t="n">
        <v>134841</v>
      </c>
      <c r="C26" s="2" t="inlineStr">
        <is>
          <t>7898040322441</t>
        </is>
      </c>
      <c r="D26" s="2" t="inlineStr"/>
      <c r="E26" s="2" t="inlineStr">
        <is>
          <t>DOLAMIN FLEX 125+5,0MG CX 12 COMP REV</t>
        </is>
      </c>
      <c r="F26" s="3" t="n">
        <v>1</v>
      </c>
      <c r="G26" s="3" t="n">
        <v>1</v>
      </c>
      <c r="H26" s="3" t="n">
        <v>1</v>
      </c>
      <c r="I26" s="4" t="n">
        <v>39.9</v>
      </c>
      <c r="J26" s="4">
        <f>G26*I26</f>
        <v/>
      </c>
      <c r="K26" s="4" t="n">
        <v>39.9</v>
      </c>
      <c r="L26" s="4" t="n">
        <v>41.03</v>
      </c>
      <c r="M26" s="4" t="n">
        <v>26.9</v>
      </c>
      <c r="N26" s="5">
        <f>K26/L26-1</f>
        <v/>
      </c>
      <c r="O26" s="6" t="inlineStr">
        <is>
          <t>OK (≤ últ. compra)</t>
        </is>
      </c>
      <c r="P26" s="2" t="inlineStr"/>
    </row>
    <row r="27">
      <c r="A27" s="2" t="inlineStr"/>
      <c r="B27" s="2" t="n">
        <v>230701</v>
      </c>
      <c r="C27" s="2" t="inlineStr">
        <is>
          <t>7892953003558</t>
        </is>
      </c>
      <c r="D27" s="2" t="inlineStr"/>
      <c r="E27" s="2" t="inlineStr">
        <is>
          <t>DUTAM 0,5+0,4MG CX 30 CAP LIB PROL</t>
        </is>
      </c>
      <c r="F27" s="3" t="n">
        <v>1</v>
      </c>
      <c r="G27" s="3" t="n">
        <v>14</v>
      </c>
      <c r="H27" s="3" t="n">
        <v>14</v>
      </c>
      <c r="I27" s="4" t="n">
        <v>87.27809999999999</v>
      </c>
      <c r="J27" s="4">
        <f>G27*I27</f>
        <v/>
      </c>
      <c r="K27" s="4" t="n">
        <v>87.27809999999999</v>
      </c>
      <c r="L27" s="4" t="n">
        <v>80.73</v>
      </c>
      <c r="M27" s="4" t="n">
        <v>76.9175</v>
      </c>
      <c r="N27" s="5">
        <f>K27/L27-1</f>
        <v/>
      </c>
      <c r="O27" s="7" t="inlineStr">
        <is>
          <t>ACIMA +8.1% (vs últ. compra)</t>
        </is>
      </c>
      <c r="P27" s="2" t="inlineStr"/>
    </row>
    <row r="28">
      <c r="A28" s="2" t="inlineStr"/>
      <c r="B28" s="2" t="n">
        <v>230841</v>
      </c>
      <c r="C28" s="2" t="inlineStr">
        <is>
          <t>7891317005351</t>
        </is>
      </c>
      <c r="D28" s="2" t="inlineStr"/>
      <c r="E28" s="2" t="inlineStr">
        <is>
          <t>EBASTEL 10MG CX 10 COMP</t>
        </is>
      </c>
      <c r="F28" s="3" t="n">
        <v>1</v>
      </c>
      <c r="G28" s="3" t="n">
        <v>3</v>
      </c>
      <c r="H28" s="3" t="n">
        <v>3</v>
      </c>
      <c r="I28" s="4" t="n">
        <v>59.184</v>
      </c>
      <c r="J28" s="4">
        <f>G28*I28</f>
        <v/>
      </c>
      <c r="K28" s="4" t="n">
        <v>59.184</v>
      </c>
      <c r="L28" s="4" t="n">
        <v>54.022</v>
      </c>
      <c r="M28" s="4" t="n">
        <v>54.022</v>
      </c>
      <c r="N28" s="5">
        <f>K28/L28-1</f>
        <v/>
      </c>
      <c r="O28" s="7" t="inlineStr">
        <is>
          <t>ACIMA +9.6% (vs últ. compra)</t>
        </is>
      </c>
      <c r="P28" s="2" t="inlineStr"/>
    </row>
    <row r="29">
      <c r="A29" s="2" t="inlineStr"/>
      <c r="B29" s="2" t="n">
        <v>393461</v>
      </c>
      <c r="C29" s="2" t="inlineStr">
        <is>
          <t>7896023701436</t>
        </is>
      </c>
      <c r="D29" s="2" t="inlineStr"/>
      <c r="E29" s="2" t="inlineStr">
        <is>
          <t>ELIXIR PAREGORICO 0,05ML/ML SOL OR FR GOT 30ML</t>
        </is>
      </c>
      <c r="F29" s="3" t="n">
        <v>1</v>
      </c>
      <c r="G29" s="3" t="n">
        <v>5</v>
      </c>
      <c r="H29" s="3" t="n">
        <v>5</v>
      </c>
      <c r="I29" s="4" t="n">
        <v>21.37</v>
      </c>
      <c r="J29" s="4">
        <f>G29*I29</f>
        <v/>
      </c>
      <c r="K29" s="4" t="n">
        <v>21.37</v>
      </c>
      <c r="L29" s="4" t="n">
        <v>10.65</v>
      </c>
      <c r="M29" s="4" t="n">
        <v>10.2633</v>
      </c>
      <c r="N29" s="5">
        <f>K29/L29-1</f>
        <v/>
      </c>
      <c r="O29" s="7" t="inlineStr">
        <is>
          <t>ACIMA +100.7% (vs últ. compra)</t>
        </is>
      </c>
      <c r="P29" s="2" t="inlineStr"/>
    </row>
    <row r="30">
      <c r="A30" s="2" t="inlineStr"/>
      <c r="B30" s="2" t="n">
        <v>600341</v>
      </c>
      <c r="C30" s="2" t="inlineStr">
        <is>
          <t>7891024033425</t>
        </is>
      </c>
      <c r="D30" s="2" t="inlineStr"/>
      <c r="E30" s="2" t="inlineStr">
        <is>
          <t>ENX BUC COLGATE PERIOG EXTRA MINT 250ML</t>
        </is>
      </c>
      <c r="F30" s="3" t="n">
        <v>1</v>
      </c>
      <c r="G30" s="3" t="n">
        <v>1</v>
      </c>
      <c r="H30" s="3" t="n">
        <v>1</v>
      </c>
      <c r="I30" s="4" t="n">
        <v>26.4</v>
      </c>
      <c r="J30" s="4">
        <f>G30*I30</f>
        <v/>
      </c>
      <c r="K30" s="4" t="n">
        <v>26.4</v>
      </c>
      <c r="L30" s="4" t="n">
        <v>23.76</v>
      </c>
      <c r="M30" s="4" t="n">
        <v>22.47</v>
      </c>
      <c r="N30" s="5">
        <f>K30/L30-1</f>
        <v/>
      </c>
      <c r="O30" s="7" t="inlineStr">
        <is>
          <t>ACIMA +11.1% (vs últ. compra)</t>
        </is>
      </c>
      <c r="P30" s="2" t="inlineStr"/>
    </row>
    <row r="31">
      <c r="A31" s="2" t="inlineStr"/>
      <c r="B31" s="2" t="n">
        <v>599151</v>
      </c>
      <c r="C31" s="2" t="inlineStr">
        <is>
          <t>7898040327910</t>
        </is>
      </c>
      <c r="D31" s="2" t="inlineStr"/>
      <c r="E31" s="2" t="inlineStr">
        <is>
          <t>ENZILAC 4500UI CX 30  COMP</t>
        </is>
      </c>
      <c r="F31" s="3" t="n">
        <v>1</v>
      </c>
      <c r="G31" s="3" t="n">
        <v>1</v>
      </c>
      <c r="H31" s="3" t="n">
        <v>1</v>
      </c>
      <c r="I31" s="4" t="n">
        <v>25.98</v>
      </c>
      <c r="J31" s="4">
        <f>G31*I31</f>
        <v/>
      </c>
      <c r="K31" s="4" t="n">
        <v>25.98</v>
      </c>
      <c r="L31" s="4" t="n">
        <v>23.42</v>
      </c>
      <c r="M31" s="4" t="n">
        <v>23.42</v>
      </c>
      <c r="N31" s="5">
        <f>K31/L31-1</f>
        <v/>
      </c>
      <c r="O31" s="7" t="inlineStr">
        <is>
          <t>ACIMA +10.9% (vs últ. compra)</t>
        </is>
      </c>
      <c r="P31" s="2" t="inlineStr"/>
    </row>
    <row r="32">
      <c r="A32" s="2" t="inlineStr"/>
      <c r="B32" s="2" t="n">
        <v>235621</v>
      </c>
      <c r="C32" s="2" t="inlineStr">
        <is>
          <t>7894916510202</t>
        </is>
      </c>
      <c r="D32" s="2" t="inlineStr"/>
      <c r="E32" s="2" t="inlineStr">
        <is>
          <t>ESOGASTRO IBP KIT 14ESO 14CLA 28AMOX+28ESO-S</t>
        </is>
      </c>
      <c r="F32" s="3" t="n">
        <v>1</v>
      </c>
      <c r="G32" s="3" t="n">
        <v>1</v>
      </c>
      <c r="H32" s="3" t="n">
        <v>1</v>
      </c>
      <c r="I32" s="4" t="n">
        <v>267.888</v>
      </c>
      <c r="J32" s="4">
        <f>G32*I32</f>
        <v/>
      </c>
      <c r="K32" s="4" t="n">
        <v>267.888</v>
      </c>
      <c r="L32" s="4" t="n">
        <v>272.59</v>
      </c>
      <c r="M32" s="4" t="n">
        <v>242.54</v>
      </c>
      <c r="N32" s="5">
        <f>K32/L32-1</f>
        <v/>
      </c>
      <c r="O32" s="6" t="inlineStr">
        <is>
          <t>OK (≤ últ. compra)</t>
        </is>
      </c>
      <c r="P32" s="2" t="inlineStr"/>
    </row>
    <row r="33">
      <c r="A33" s="2" t="inlineStr"/>
      <c r="B33" s="2" t="n">
        <v>641971</v>
      </c>
      <c r="C33" s="2" t="inlineStr">
        <is>
          <t>7500435185035</t>
        </is>
      </c>
      <c r="D33" s="2" t="inlineStr"/>
      <c r="E33" s="2" t="inlineStr">
        <is>
          <t>FEMIBION 3 C/28 COMP-DEMAIS PROD</t>
        </is>
      </c>
      <c r="F33" s="3" t="n">
        <v>1</v>
      </c>
      <c r="G33" s="3" t="n">
        <v>4</v>
      </c>
      <c r="H33" s="3" t="n">
        <v>4</v>
      </c>
      <c r="I33" s="4" t="n">
        <v>125.5156</v>
      </c>
      <c r="J33" s="4">
        <f>G33*I33</f>
        <v/>
      </c>
      <c r="K33" s="4" t="n">
        <v>125.5156</v>
      </c>
      <c r="L33" s="4" t="n">
        <v>127.566666666667</v>
      </c>
      <c r="M33" s="4" t="n">
        <v>101.32</v>
      </c>
      <c r="N33" s="5">
        <f>K33/L33-1</f>
        <v/>
      </c>
      <c r="O33" s="6" t="inlineStr">
        <is>
          <t>OK (≤ últ. compra)</t>
        </is>
      </c>
      <c r="P33" s="2" t="inlineStr"/>
    </row>
    <row r="34">
      <c r="A34" s="2" t="inlineStr"/>
      <c r="B34" s="2" t="n">
        <v>430141</v>
      </c>
      <c r="C34" s="2" t="inlineStr">
        <is>
          <t>7896014673124</t>
        </is>
      </c>
      <c r="D34" s="2" t="inlineStr"/>
      <c r="E34" s="2" t="inlineStr">
        <is>
          <t>FERROPURUM 20 MG/ML SOL INJ 5 AMP 5ML</t>
        </is>
      </c>
      <c r="F34" s="3" t="n">
        <v>1</v>
      </c>
      <c r="G34" s="3" t="n">
        <v>4</v>
      </c>
      <c r="H34" s="3" t="n">
        <v>4</v>
      </c>
      <c r="I34" s="4" t="n">
        <v>68.77</v>
      </c>
      <c r="J34" s="4">
        <f>G34*I34</f>
        <v/>
      </c>
      <c r="K34" s="4" t="n">
        <v>68.77</v>
      </c>
      <c r="L34" s="4" t="n">
        <v>69.76000000000001</v>
      </c>
      <c r="M34" s="4" t="n">
        <v>51.6738</v>
      </c>
      <c r="N34" s="5">
        <f>K34/L34-1</f>
        <v/>
      </c>
      <c r="O34" s="6" t="inlineStr">
        <is>
          <t>OK (≤ últ. compra)</t>
        </is>
      </c>
      <c r="P34" s="2" t="inlineStr"/>
    </row>
    <row r="35">
      <c r="A35" s="2" t="inlineStr"/>
      <c r="B35" s="2" t="n">
        <v>566701</v>
      </c>
      <c r="C35" s="2" t="inlineStr">
        <is>
          <t>7898040324438</t>
        </is>
      </c>
      <c r="D35" s="2" t="inlineStr"/>
      <c r="E35" s="2" t="inlineStr">
        <is>
          <t>FLETOP LOCAO 200ML</t>
        </is>
      </c>
      <c r="F35" s="3" t="n">
        <v>1</v>
      </c>
      <c r="G35" s="3" t="n">
        <v>2</v>
      </c>
      <c r="H35" s="3" t="n">
        <v>2</v>
      </c>
      <c r="I35" s="4" t="n">
        <v>57.133</v>
      </c>
      <c r="J35" s="4">
        <f>G35*I35</f>
        <v/>
      </c>
      <c r="K35" s="4" t="n">
        <v>57.133</v>
      </c>
      <c r="L35" s="4" t="n">
        <v>57.135</v>
      </c>
      <c r="M35" s="4" t="n">
        <v>41.344</v>
      </c>
      <c r="N35" s="5">
        <f>K35/L35-1</f>
        <v/>
      </c>
      <c r="O35" s="6" t="inlineStr">
        <is>
          <t>OK (≤ últ. compra)</t>
        </is>
      </c>
      <c r="P35" s="2" t="inlineStr"/>
    </row>
    <row r="36">
      <c r="A36" s="2" t="inlineStr"/>
      <c r="B36" s="2" t="n">
        <v>670571</v>
      </c>
      <c r="C36" s="2" t="inlineStr">
        <is>
          <t>7898216368037</t>
        </is>
      </c>
      <c r="D36" s="2" t="inlineStr"/>
      <c r="E36" s="2" t="inlineStr">
        <is>
          <t>GARDENAL 100MG C/20 COMP (C1)-REFERENCIA</t>
        </is>
      </c>
      <c r="F36" s="3" t="n">
        <v>1</v>
      </c>
      <c r="G36" s="3" t="n">
        <v>1</v>
      </c>
      <c r="H36" s="3" t="n">
        <v>1</v>
      </c>
      <c r="I36" s="4" t="n">
        <v>9.468</v>
      </c>
      <c r="J36" s="4">
        <f>G36*I36</f>
        <v/>
      </c>
      <c r="K36" s="4" t="n">
        <v>9.468</v>
      </c>
      <c r="L36" s="4" t="n">
        <v>9.409444444444439</v>
      </c>
      <c r="M36" s="4" t="n">
        <v>9.4094</v>
      </c>
      <c r="N36" s="5">
        <f>K36/L36-1</f>
        <v/>
      </c>
      <c r="O36" s="7" t="inlineStr">
        <is>
          <t>ACIMA +0.6% (vs últ. compra)</t>
        </is>
      </c>
      <c r="P36" s="2" t="inlineStr"/>
    </row>
    <row r="37">
      <c r="A37" s="2" t="inlineStr"/>
      <c r="B37" s="2" t="n">
        <v>533121</v>
      </c>
      <c r="C37" s="2" t="inlineStr">
        <is>
          <t>7891721201806</t>
        </is>
      </c>
      <c r="D37" s="2" t="inlineStr"/>
      <c r="E37" s="2" t="inlineStr">
        <is>
          <t>GLIFAGE XR 500MG CX 30 COMP</t>
        </is>
      </c>
      <c r="F37" s="3" t="n">
        <v>1</v>
      </c>
      <c r="G37" s="3" t="n">
        <v>140</v>
      </c>
      <c r="H37" s="3" t="n">
        <v>140</v>
      </c>
      <c r="I37" s="4" t="n">
        <v>6.9888</v>
      </c>
      <c r="J37" s="4">
        <f>G37*I37</f>
        <v/>
      </c>
      <c r="K37" s="4" t="n">
        <v>6.9888</v>
      </c>
      <c r="L37" s="4" t="n">
        <v>7.26258064516129</v>
      </c>
      <c r="M37" s="4" t="n">
        <v>6.4487</v>
      </c>
      <c r="N37" s="5">
        <f>K37/L37-1</f>
        <v/>
      </c>
      <c r="O37" s="6" t="inlineStr">
        <is>
          <t>OK (≤ últ. compra)</t>
        </is>
      </c>
      <c r="P37" s="2" t="inlineStr"/>
    </row>
    <row r="38">
      <c r="A38" s="2" t="inlineStr"/>
      <c r="B38" s="2" t="n">
        <v>264141</v>
      </c>
      <c r="C38" s="2" t="inlineStr">
        <is>
          <t>7891721026621</t>
        </is>
      </c>
      <c r="D38" s="2" t="inlineStr"/>
      <c r="E38" s="2" t="inlineStr">
        <is>
          <t>GLUCOVANCE 500+5MG CX 30 COMP REV</t>
        </is>
      </c>
      <c r="F38" s="3" t="n">
        <v>1</v>
      </c>
      <c r="G38" s="3" t="n">
        <v>3</v>
      </c>
      <c r="H38" s="3" t="n">
        <v>3</v>
      </c>
      <c r="I38" s="4" t="n">
        <v>40.7584</v>
      </c>
      <c r="J38" s="4">
        <f>G38*I38</f>
        <v/>
      </c>
      <c r="K38" s="4" t="n">
        <v>40.7584</v>
      </c>
      <c r="L38" s="4" t="n">
        <v>42.8066666666667</v>
      </c>
      <c r="M38" s="4" t="n">
        <v>40.76</v>
      </c>
      <c r="N38" s="5">
        <f>K38/L38-1</f>
        <v/>
      </c>
      <c r="O38" s="6" t="inlineStr">
        <is>
          <t>OK (≤ menor hist.)</t>
        </is>
      </c>
      <c r="P38" s="2" t="inlineStr"/>
    </row>
    <row r="39">
      <c r="A39" s="2" t="inlineStr"/>
      <c r="B39" s="2" t="n">
        <v>572741</v>
      </c>
      <c r="C39" s="2" t="inlineStr">
        <is>
          <t>7898495609364</t>
        </is>
      </c>
      <c r="D39" s="2" t="inlineStr"/>
      <c r="E39" s="2" t="inlineStr">
        <is>
          <t>IMOLAC 120ML</t>
        </is>
      </c>
      <c r="F39" s="3" t="n">
        <v>1</v>
      </c>
      <c r="G39" s="3" t="n">
        <v>1</v>
      </c>
      <c r="H39" s="3" t="n">
        <v>1</v>
      </c>
      <c r="I39" s="4" t="n">
        <v>63.7</v>
      </c>
      <c r="J39" s="4">
        <f>G39*I39</f>
        <v/>
      </c>
      <c r="K39" s="4" t="n">
        <v>63.7</v>
      </c>
      <c r="L39" s="4" t="n">
        <v>58.6</v>
      </c>
      <c r="M39" s="4" t="n">
        <v>52.15</v>
      </c>
      <c r="N39" s="5">
        <f>K39/L39-1</f>
        <v/>
      </c>
      <c r="O39" s="7" t="inlineStr">
        <is>
          <t>ACIMA +8.7% (vs últ. compra)</t>
        </is>
      </c>
      <c r="P39" s="2" t="inlineStr"/>
    </row>
    <row r="40">
      <c r="A40" s="2" t="inlineStr"/>
      <c r="B40" s="2" t="n">
        <v>592811</v>
      </c>
      <c r="C40" s="2" t="inlineStr">
        <is>
          <t>7898495609487</t>
        </is>
      </c>
      <c r="D40" s="2" t="inlineStr"/>
      <c r="E40" s="2" t="inlineStr">
        <is>
          <t>IMOLAC SOL C/200ML+COP (CFE)</t>
        </is>
      </c>
      <c r="F40" s="3" t="n">
        <v>1</v>
      </c>
      <c r="G40" s="3" t="n">
        <v>3</v>
      </c>
      <c r="H40" s="3" t="n">
        <v>3</v>
      </c>
      <c r="I40" s="4" t="n">
        <v>94.13</v>
      </c>
      <c r="J40" s="4">
        <f>G40*I40</f>
        <v/>
      </c>
      <c r="K40" s="4" t="n">
        <v>94.13</v>
      </c>
      <c r="L40" s="4" t="n">
        <v>67.37</v>
      </c>
      <c r="M40" s="4" t="n">
        <v>67.37</v>
      </c>
      <c r="N40" s="5">
        <f>K40/L40-1</f>
        <v/>
      </c>
      <c r="O40" s="7" t="inlineStr">
        <is>
          <t>ACIMA +39.7% (vs últ. compra)</t>
        </is>
      </c>
      <c r="P40" s="2" t="inlineStr"/>
    </row>
    <row r="41">
      <c r="A41" s="2" t="inlineStr"/>
      <c r="B41" s="2" t="n">
        <v>237681</v>
      </c>
      <c r="C41" s="2" t="inlineStr">
        <is>
          <t>7896094209510</t>
        </is>
      </c>
      <c r="D41" s="2" t="inlineStr"/>
      <c r="E41" s="2" t="inlineStr">
        <is>
          <t>IZIZ 2,5+1,5MG CX CARTELA COMP REV CAIXA C/ 3 CARTELAS</t>
        </is>
      </c>
      <c r="F41" s="3" t="n">
        <v>1</v>
      </c>
      <c r="G41" s="3" t="n">
        <v>1</v>
      </c>
      <c r="H41" s="3" t="n">
        <v>1</v>
      </c>
      <c r="I41" s="4" t="n">
        <v>121.5701</v>
      </c>
      <c r="J41" s="4">
        <f>G41*I41</f>
        <v/>
      </c>
      <c r="K41" s="4" t="n">
        <v>121.5701</v>
      </c>
      <c r="L41" s="4" t="n">
        <v>42.1166666666667</v>
      </c>
      <c r="M41" s="4" t="n">
        <v>38.5967</v>
      </c>
      <c r="N41" s="5">
        <f>K41/L41-1</f>
        <v/>
      </c>
      <c r="O41" s="7" t="inlineStr">
        <is>
          <t>ACIMA +188.7% (vs últ. compra)</t>
        </is>
      </c>
      <c r="P41" s="2" t="inlineStr"/>
    </row>
    <row r="42">
      <c r="A42" s="2" t="inlineStr"/>
      <c r="B42" s="2" t="n">
        <v>582461</v>
      </c>
      <c r="C42" s="2" t="inlineStr">
        <is>
          <t>4005900663993</t>
        </is>
      </c>
      <c r="D42" s="2" t="inlineStr"/>
      <c r="E42" s="2" t="inlineStr">
        <is>
          <t>LABIAL NIVEA CEREJA SHINE 4,8G</t>
        </is>
      </c>
      <c r="F42" s="3" t="n">
        <v>1</v>
      </c>
      <c r="G42" s="3" t="n">
        <v>3</v>
      </c>
      <c r="H42" s="3" t="n">
        <v>3</v>
      </c>
      <c r="I42" s="4" t="n">
        <v>19.41</v>
      </c>
      <c r="J42" s="4">
        <f>G42*I42</f>
        <v/>
      </c>
      <c r="K42" s="4" t="n">
        <v>19.41</v>
      </c>
      <c r="L42" s="4" t="n">
        <v>14.17</v>
      </c>
      <c r="M42" s="4" t="n">
        <v>14.17</v>
      </c>
      <c r="N42" s="5">
        <f>K42/L42-1</f>
        <v/>
      </c>
      <c r="O42" s="7" t="inlineStr">
        <is>
          <t>ACIMA +37.0% (vs últ. compra)</t>
        </is>
      </c>
      <c r="P42" s="2" t="inlineStr"/>
    </row>
    <row r="43">
      <c r="A43" s="2" t="inlineStr"/>
      <c r="B43" s="2" t="n">
        <v>615351</v>
      </c>
      <c r="C43" s="2" t="inlineStr">
        <is>
          <t>4005808850839</t>
        </is>
      </c>
      <c r="D43" s="2" t="inlineStr"/>
      <c r="E43" s="2" t="inlineStr">
        <is>
          <t>LABIAL NIVEA STAR FRU STRAWB 4,8G</t>
        </is>
      </c>
      <c r="F43" s="3" t="n">
        <v>1</v>
      </c>
      <c r="G43" s="3" t="n">
        <v>4</v>
      </c>
      <c r="H43" s="3" t="n">
        <v>4</v>
      </c>
      <c r="I43" s="4" t="n">
        <v>19.41</v>
      </c>
      <c r="J43" s="4">
        <f>G43*I43</f>
        <v/>
      </c>
      <c r="K43" s="4" t="n">
        <v>19.41</v>
      </c>
      <c r="L43" s="4" t="n">
        <v>14.2933333333333</v>
      </c>
      <c r="M43" s="4" t="n">
        <v>13.92</v>
      </c>
      <c r="N43" s="5">
        <f>K43/L43-1</f>
        <v/>
      </c>
      <c r="O43" s="7" t="inlineStr">
        <is>
          <t>ACIMA +35.8% (vs últ. compra)</t>
        </is>
      </c>
      <c r="P43" s="2" t="inlineStr"/>
    </row>
    <row r="44">
      <c r="A44" s="2" t="inlineStr"/>
      <c r="B44" s="2" t="n">
        <v>555341</v>
      </c>
      <c r="C44" s="2" t="inlineStr">
        <is>
          <t>7898949409458</t>
        </is>
      </c>
      <c r="D44" s="2" t="inlineStr"/>
      <c r="E44" s="2" t="inlineStr">
        <is>
          <t>LAKESIA GENOMMA CAIXA 30ML SOLUÇÃO ANTIMICÓTICA</t>
        </is>
      </c>
      <c r="F44" s="3" t="n">
        <v>1</v>
      </c>
      <c r="G44" s="3" t="n">
        <v>2</v>
      </c>
      <c r="H44" s="3" t="n">
        <v>2</v>
      </c>
      <c r="I44" s="4" t="n">
        <v>44.18</v>
      </c>
      <c r="J44" s="4">
        <f>G44*I44</f>
        <v/>
      </c>
      <c r="K44" s="4" t="n">
        <v>44.18</v>
      </c>
      <c r="L44" s="4" t="n">
        <v>35.342</v>
      </c>
      <c r="M44" s="4" t="n">
        <v>30.98</v>
      </c>
      <c r="N44" s="5">
        <f>K44/L44-1</f>
        <v/>
      </c>
      <c r="O44" s="7" t="inlineStr">
        <is>
          <t>ACIMA +25.0% (vs últ. compra)</t>
        </is>
      </c>
      <c r="P44" s="2" t="inlineStr"/>
    </row>
    <row r="45">
      <c r="A45" s="2" t="inlineStr"/>
      <c r="B45" s="2" t="n">
        <v>651991</v>
      </c>
      <c r="C45" s="2" t="inlineStr">
        <is>
          <t>7895858015664</t>
        </is>
      </c>
      <c r="D45" s="2" t="inlineStr"/>
      <c r="E45" s="2" t="inlineStr">
        <is>
          <t>LEITE DE MAGNESIA PHILLIPS HORT 120ML</t>
        </is>
      </c>
      <c r="F45" s="3" t="n">
        <v>1</v>
      </c>
      <c r="G45" s="3" t="n">
        <v>1</v>
      </c>
      <c r="H45" s="3" t="n">
        <v>1</v>
      </c>
      <c r="I45" s="4" t="n">
        <v>16.048</v>
      </c>
      <c r="J45" s="4">
        <f>G45*I45</f>
        <v/>
      </c>
      <c r="K45" s="4" t="n">
        <v>16.048</v>
      </c>
      <c r="L45" s="4" t="n">
        <v>18.31</v>
      </c>
      <c r="M45" s="4" t="n">
        <v>9.81</v>
      </c>
      <c r="N45" s="5">
        <f>K45/L45-1</f>
        <v/>
      </c>
      <c r="O45" s="6" t="inlineStr">
        <is>
          <t>OK (≤ últ. compra)</t>
        </is>
      </c>
      <c r="P45" s="2" t="inlineStr"/>
    </row>
    <row r="46">
      <c r="A46" s="2" t="inlineStr"/>
      <c r="B46" s="2" t="n">
        <v>654211</v>
      </c>
      <c r="C46" s="2" t="inlineStr">
        <is>
          <t>7896026170406</t>
        </is>
      </c>
      <c r="D46" s="2" t="inlineStr"/>
      <c r="E46" s="2" t="inlineStr">
        <is>
          <t>MALVATRIKIDS BABY CR DEN S/FLUOR 70G</t>
        </is>
      </c>
      <c r="F46" s="3" t="n">
        <v>1</v>
      </c>
      <c r="G46" s="3" t="n">
        <v>3</v>
      </c>
      <c r="H46" s="3" t="n">
        <v>3</v>
      </c>
      <c r="I46" s="4" t="n">
        <v>18.98</v>
      </c>
      <c r="J46" s="4">
        <f>G46*I46</f>
        <v/>
      </c>
      <c r="K46" s="4" t="n">
        <v>18.98</v>
      </c>
      <c r="L46" s="4" t="n">
        <v>13.26</v>
      </c>
      <c r="M46" s="4" t="n">
        <v>13.26</v>
      </c>
      <c r="N46" s="5">
        <f>K46/L46-1</f>
        <v/>
      </c>
      <c r="O46" s="7" t="inlineStr">
        <is>
          <t>ACIMA +43.1% (vs últ. compra)</t>
        </is>
      </c>
      <c r="P46" s="2" t="inlineStr"/>
    </row>
    <row r="47">
      <c r="A47" s="2" t="inlineStr"/>
      <c r="B47" s="2" t="n">
        <v>550821</v>
      </c>
      <c r="C47" s="2" t="inlineStr">
        <is>
          <t>7898040325237</t>
        </is>
      </c>
      <c r="D47" s="2" t="inlineStr"/>
      <c r="E47" s="2" t="inlineStr">
        <is>
          <t>MARESIS (N.S.) BABY SOL SPRAY FR 100ML</t>
        </is>
      </c>
      <c r="F47" s="3" t="n">
        <v>1</v>
      </c>
      <c r="G47" s="3" t="n">
        <v>2</v>
      </c>
      <c r="H47" s="3" t="n">
        <v>2</v>
      </c>
      <c r="I47" s="4" t="n">
        <v>36.96449999999999</v>
      </c>
      <c r="J47" s="4">
        <f>G47*I47</f>
        <v/>
      </c>
      <c r="K47" s="4" t="n">
        <v>36.96449999999999</v>
      </c>
      <c r="L47" s="4" t="n">
        <v>38.41</v>
      </c>
      <c r="M47" s="4" t="n">
        <v>34.369</v>
      </c>
      <c r="N47" s="5">
        <f>K47/L47-1</f>
        <v/>
      </c>
      <c r="O47" s="6" t="inlineStr">
        <is>
          <t>OK (≤ últ. compra)</t>
        </is>
      </c>
      <c r="P47" s="2" t="inlineStr"/>
    </row>
    <row r="48">
      <c r="A48" s="2" t="inlineStr"/>
      <c r="B48" s="2" t="n">
        <v>640591</v>
      </c>
      <c r="C48" s="2" t="inlineStr">
        <is>
          <t>7898040322540</t>
        </is>
      </c>
      <c r="D48" s="2" t="inlineStr"/>
      <c r="E48" s="2" t="inlineStr">
        <is>
          <t>MARESIS (N.S.) SOL SPRAY FR 100ML</t>
        </is>
      </c>
      <c r="F48" s="3" t="n">
        <v>1</v>
      </c>
      <c r="G48" s="3" t="n">
        <v>1</v>
      </c>
      <c r="H48" s="3" t="n">
        <v>1</v>
      </c>
      <c r="I48" s="4" t="n">
        <v>36.96449999999999</v>
      </c>
      <c r="J48" s="4">
        <f>G48*I48</f>
        <v/>
      </c>
      <c r="K48" s="4" t="n">
        <v>36.96449999999999</v>
      </c>
      <c r="L48" s="4" t="n">
        <v>41.6</v>
      </c>
      <c r="M48" s="4" t="n">
        <v>37.585</v>
      </c>
      <c r="N48" s="5">
        <f>K48/L48-1</f>
        <v/>
      </c>
      <c r="O48" s="6" t="inlineStr">
        <is>
          <t>OK (≤ menor hist.)</t>
        </is>
      </c>
      <c r="P48" s="2" t="inlineStr"/>
    </row>
    <row r="49">
      <c r="A49" s="2" t="inlineStr"/>
      <c r="B49" s="2" t="n">
        <v>653761</v>
      </c>
      <c r="C49" s="2" t="inlineStr">
        <is>
          <t>7898244720609</t>
        </is>
      </c>
      <c r="D49" s="2" t="inlineStr"/>
      <c r="E49" s="2" t="inlineStr">
        <is>
          <t>MARESIS FLEX 1,08G KIT FR+15SACH   FQM %DN:15.00</t>
        </is>
      </c>
      <c r="F49" s="3" t="n">
        <v>1</v>
      </c>
      <c r="G49" s="3" t="n">
        <v>1</v>
      </c>
      <c r="H49" s="3" t="n">
        <v>1</v>
      </c>
      <c r="I49" s="4" t="n">
        <v>36.423</v>
      </c>
      <c r="J49" s="4">
        <f>G49*I49</f>
        <v/>
      </c>
      <c r="K49" s="4" t="n">
        <v>36.423</v>
      </c>
      <c r="L49" s="4" t="n">
        <v>33.8425</v>
      </c>
      <c r="M49" s="4" t="n">
        <v>33.8425</v>
      </c>
      <c r="N49" s="5">
        <f>K49/L49-1</f>
        <v/>
      </c>
      <c r="O49" s="7" t="inlineStr">
        <is>
          <t>ACIMA +7.6% (vs últ. compra)</t>
        </is>
      </c>
      <c r="P49" s="2" t="inlineStr"/>
    </row>
    <row r="50">
      <c r="A50" s="2" t="inlineStr"/>
      <c r="B50" s="2" t="n">
        <v>653771</v>
      </c>
      <c r="C50" s="2" t="inlineStr">
        <is>
          <t>7898244720630</t>
        </is>
      </c>
      <c r="D50" s="2" t="inlineStr"/>
      <c r="E50" s="2" t="inlineStr">
        <is>
          <t>MARESIS FLEX 2,16G KIT FR+30SACH   FQM %DN:15.00</t>
        </is>
      </c>
      <c r="F50" s="3" t="n">
        <v>1</v>
      </c>
      <c r="G50" s="3" t="n">
        <v>1</v>
      </c>
      <c r="H50" s="3" t="n">
        <v>1</v>
      </c>
      <c r="I50" s="4" t="n">
        <v>61.90199999999999</v>
      </c>
      <c r="J50" s="4">
        <f>G50*I50</f>
        <v/>
      </c>
      <c r="K50" s="4" t="n">
        <v>61.90199999999999</v>
      </c>
      <c r="L50" s="4" t="n">
        <v>52.78</v>
      </c>
      <c r="M50" s="4" t="n">
        <v>52.78</v>
      </c>
      <c r="N50" s="5">
        <f>K50/L50-1</f>
        <v/>
      </c>
      <c r="O50" s="7" t="inlineStr">
        <is>
          <t>ACIMA +17.3% (vs últ. compra)</t>
        </is>
      </c>
      <c r="P50" s="2" t="inlineStr"/>
    </row>
    <row r="51">
      <c r="A51" s="2" t="inlineStr"/>
      <c r="B51" s="2" t="n">
        <v>548221</v>
      </c>
      <c r="C51" s="2" t="inlineStr">
        <is>
          <t>7896023719899</t>
        </is>
      </c>
      <c r="D51" s="2" t="inlineStr"/>
      <c r="E51" s="2" t="inlineStr">
        <is>
          <t>MELAGRIÃO EXPECTORANTE CATARINENSE 150ML</t>
        </is>
      </c>
      <c r="F51" s="3" t="n">
        <v>1</v>
      </c>
      <c r="G51" s="3" t="n">
        <v>2</v>
      </c>
      <c r="H51" s="3" t="n">
        <v>2</v>
      </c>
      <c r="I51" s="4" t="n">
        <v>17.46</v>
      </c>
      <c r="J51" s="4">
        <f>G51*I51</f>
        <v/>
      </c>
      <c r="K51" s="4" t="n">
        <v>17.46</v>
      </c>
      <c r="L51" s="4" t="n">
        <v>35.31</v>
      </c>
      <c r="M51" s="4" t="n">
        <v>13.135</v>
      </c>
      <c r="N51" s="5">
        <f>K51/L51-1</f>
        <v/>
      </c>
      <c r="O51" s="6" t="inlineStr">
        <is>
          <t>OK (≤ últ. compra)</t>
        </is>
      </c>
      <c r="P51" s="2" t="inlineStr"/>
    </row>
    <row r="52">
      <c r="A52" s="2" t="inlineStr"/>
      <c r="B52" s="2" t="n">
        <v>622911</v>
      </c>
      <c r="C52" s="2" t="inlineStr">
        <is>
          <t>020800750165</t>
        </is>
      </c>
      <c r="D52" s="2" t="inlineStr"/>
      <c r="E52" s="2" t="inlineStr">
        <is>
          <t>METAMUCIL 0,562G PO PREP 10 ENV X 1 SACHE SB LARANJA</t>
        </is>
      </c>
      <c r="F52" s="3" t="n">
        <v>1</v>
      </c>
      <c r="G52" s="3" t="n">
        <v>2</v>
      </c>
      <c r="H52" s="3" t="n">
        <v>2</v>
      </c>
      <c r="I52" s="4" t="n">
        <v>52.8724</v>
      </c>
      <c r="J52" s="4">
        <f>G52*I52</f>
        <v/>
      </c>
      <c r="K52" s="4" t="n">
        <v>52.8724</v>
      </c>
      <c r="L52" s="4" t="n">
        <v>54.15</v>
      </c>
      <c r="M52" s="4" t="n">
        <v>46.84</v>
      </c>
      <c r="N52" s="5">
        <f>K52/L52-1</f>
        <v/>
      </c>
      <c r="O52" s="6" t="inlineStr">
        <is>
          <t>OK (≤ últ. compra)</t>
        </is>
      </c>
      <c r="P52" s="2" t="inlineStr"/>
    </row>
    <row r="53">
      <c r="A53" s="2" t="inlineStr"/>
      <c r="B53" s="2" t="n">
        <v>665551</v>
      </c>
      <c r="C53" s="2" t="inlineStr">
        <is>
          <t>00020800750158</t>
        </is>
      </c>
      <c r="D53" s="2" t="inlineStr"/>
      <c r="E53" s="2" t="inlineStr">
        <is>
          <t>METAMUCIL SOLUVEL LARANJA 174G-OUTROS</t>
        </is>
      </c>
      <c r="F53" s="3" t="n">
        <v>1</v>
      </c>
      <c r="G53" s="3" t="n">
        <v>1</v>
      </c>
      <c r="H53" s="3" t="n">
        <v>1</v>
      </c>
      <c r="I53" s="4" t="n">
        <v>101.9912</v>
      </c>
      <c r="J53" s="4">
        <f>G53*I53</f>
        <v/>
      </c>
      <c r="K53" s="4" t="n">
        <v>101.9912</v>
      </c>
      <c r="L53" s="4" t="n">
        <v>101.27</v>
      </c>
      <c r="M53" s="4" t="n">
        <v>82.09</v>
      </c>
      <c r="N53" s="5">
        <f>K53/L53-1</f>
        <v/>
      </c>
      <c r="O53" s="7" t="inlineStr">
        <is>
          <t>ACIMA +0.7% (vs últ. compra)</t>
        </is>
      </c>
      <c r="P53" s="2" t="inlineStr"/>
    </row>
    <row r="54">
      <c r="A54" s="2" t="inlineStr"/>
      <c r="B54" s="2" t="n">
        <v>416901</v>
      </c>
      <c r="C54" s="2" t="inlineStr">
        <is>
          <t>7896094206342</t>
        </is>
      </c>
      <c r="D54" s="2" t="inlineStr"/>
      <c r="E54" s="2" t="inlineStr">
        <is>
          <t>NAPRIX 2,5MG BL AL AL CX 30 COMP</t>
        </is>
      </c>
      <c r="F54" s="3" t="n">
        <v>1</v>
      </c>
      <c r="G54" s="3" t="n">
        <v>1</v>
      </c>
      <c r="H54" s="3" t="n">
        <v>1</v>
      </c>
      <c r="I54" s="4" t="n">
        <v>63.8939</v>
      </c>
      <c r="J54" s="4">
        <f>G54*I54</f>
        <v/>
      </c>
      <c r="K54" s="4" t="n">
        <v>63.8939</v>
      </c>
      <c r="L54" s="4" t="n">
        <v>58.95</v>
      </c>
      <c r="M54" s="4" t="n">
        <v>58.95</v>
      </c>
      <c r="N54" s="5">
        <f>K54/L54-1</f>
        <v/>
      </c>
      <c r="O54" s="7" t="inlineStr">
        <is>
          <t>ACIMA +8.4% (vs últ. compra)</t>
        </is>
      </c>
      <c r="P54" s="2" t="inlineStr"/>
    </row>
    <row r="55">
      <c r="A55" s="2" t="inlineStr"/>
      <c r="B55" s="2" t="n">
        <v>582301</v>
      </c>
      <c r="C55" s="2" t="inlineStr">
        <is>
          <t>7897337716550</t>
        </is>
      </c>
      <c r="D55" s="2" t="inlineStr"/>
      <c r="E55" s="2" t="inlineStr">
        <is>
          <t>NASONEX 0,5MG/G SUS NAS FR SPR 60 ATOMIZ</t>
        </is>
      </c>
      <c r="F55" s="3" t="n">
        <v>1</v>
      </c>
      <c r="G55" s="3" t="n">
        <v>1</v>
      </c>
      <c r="H55" s="3" t="n">
        <v>1</v>
      </c>
      <c r="I55" s="4" t="n">
        <v>35.7213</v>
      </c>
      <c r="J55" s="4">
        <f>G55*I55</f>
        <v/>
      </c>
      <c r="K55" s="4" t="n">
        <v>35.7213</v>
      </c>
      <c r="L55" s="4" t="n">
        <v>37.12</v>
      </c>
      <c r="M55" s="4" t="n">
        <v>33.325</v>
      </c>
      <c r="N55" s="5">
        <f>K55/L55-1</f>
        <v/>
      </c>
      <c r="O55" s="6" t="inlineStr">
        <is>
          <t>OK (≤ últ. compra)</t>
        </is>
      </c>
      <c r="P55" s="2" t="inlineStr"/>
    </row>
    <row r="56">
      <c r="A56" s="2" t="inlineStr"/>
      <c r="B56" s="2" t="n">
        <v>237461</v>
      </c>
      <c r="C56" s="2" t="inlineStr">
        <is>
          <t>7896094201460</t>
        </is>
      </c>
      <c r="D56" s="2" t="inlineStr"/>
      <c r="E56" s="2" t="inlineStr">
        <is>
          <t>NATIFA 1MG CX 28 COMP REV</t>
        </is>
      </c>
      <c r="F56" s="3" t="n">
        <v>1</v>
      </c>
      <c r="G56" s="3" t="n">
        <v>1</v>
      </c>
      <c r="H56" s="3" t="n">
        <v>1</v>
      </c>
      <c r="I56" s="4" t="n">
        <v>56.0854</v>
      </c>
      <c r="J56" s="4">
        <f>G56*I56</f>
        <v/>
      </c>
      <c r="K56" s="4" t="n">
        <v>56.0854</v>
      </c>
      <c r="L56" s="4" t="n">
        <v>58.3</v>
      </c>
      <c r="M56" s="4" t="n">
        <v>54.075</v>
      </c>
      <c r="N56" s="5">
        <f>K56/L56-1</f>
        <v/>
      </c>
      <c r="O56" s="6" t="inlineStr">
        <is>
          <t>OK (≤ últ. compra)</t>
        </is>
      </c>
      <c r="P56" s="2" t="inlineStr"/>
    </row>
    <row r="57">
      <c r="A57" s="2" t="inlineStr"/>
      <c r="B57" s="2" t="n">
        <v>644711</v>
      </c>
      <c r="C57" s="2" t="inlineStr">
        <is>
          <t>7891010254025</t>
        </is>
      </c>
      <c r="D57" s="2" t="inlineStr"/>
      <c r="E57" s="2" t="inlineStr">
        <is>
          <t>NEOS MINESOL COR/ROS FPS70 120ML</t>
        </is>
      </c>
      <c r="F57" s="3" t="n">
        <v>1</v>
      </c>
      <c r="G57" s="3" t="n">
        <v>1</v>
      </c>
      <c r="H57" s="3" t="n">
        <v>1</v>
      </c>
      <c r="I57" s="4" t="n">
        <v>127.48</v>
      </c>
      <c r="J57" s="4">
        <f>G57*I57</f>
        <v/>
      </c>
      <c r="K57" s="4" t="n">
        <v>127.48</v>
      </c>
      <c r="L57" s="4" t="n">
        <v>82.5275</v>
      </c>
      <c r="M57" s="4" t="n">
        <v>82.5275</v>
      </c>
      <c r="N57" s="5">
        <f>K57/L57-1</f>
        <v/>
      </c>
      <c r="O57" s="7" t="inlineStr">
        <is>
          <t>ACIMA +54.5% (vs últ. compra)</t>
        </is>
      </c>
      <c r="P57" s="2" t="inlineStr"/>
    </row>
    <row r="58">
      <c r="A58" s="2" t="inlineStr"/>
      <c r="B58" s="2" t="n">
        <v>669601</v>
      </c>
      <c r="C58" s="2" t="inlineStr">
        <is>
          <t>7896046304126</t>
        </is>
      </c>
      <c r="D58" s="2" t="inlineStr"/>
      <c r="E58" s="2" t="inlineStr">
        <is>
          <t>NEOVITE MAX 30CAP BLPA</t>
        </is>
      </c>
      <c r="F58" s="3" t="n">
        <v>1</v>
      </c>
      <c r="G58" s="3" t="n">
        <v>1</v>
      </c>
      <c r="H58" s="3" t="n">
        <v>1</v>
      </c>
      <c r="I58" s="4" t="n">
        <v>156.6322</v>
      </c>
      <c r="J58" s="4">
        <f>G58*I58</f>
        <v/>
      </c>
      <c r="K58" s="4" t="n">
        <v>156.6322</v>
      </c>
      <c r="L58" s="4" t="n">
        <v>81.84</v>
      </c>
      <c r="M58" s="4" t="n">
        <v>81.84</v>
      </c>
      <c r="N58" s="5">
        <f>K58/L58-1</f>
        <v/>
      </c>
      <c r="O58" s="7" t="inlineStr">
        <is>
          <t>ACIMA +91.4% (vs últ. compra)</t>
        </is>
      </c>
      <c r="P58" s="2" t="inlineStr"/>
    </row>
    <row r="59">
      <c r="A59" s="2" t="inlineStr"/>
      <c r="B59" s="2" t="n">
        <v>613781</v>
      </c>
      <c r="C59" s="2" t="inlineStr">
        <is>
          <t>7891010249106</t>
        </is>
      </c>
      <c r="D59" s="2" t="inlineStr"/>
      <c r="E59" s="2" t="inlineStr">
        <is>
          <t>NEUT SUN FRESH FPS90 200ML</t>
        </is>
      </c>
      <c r="F59" s="3" t="n">
        <v>1</v>
      </c>
      <c r="G59" s="3" t="n">
        <v>3</v>
      </c>
      <c r="H59" s="3" t="n">
        <v>3</v>
      </c>
      <c r="I59" s="4" t="n">
        <v>120.19</v>
      </c>
      <c r="J59" s="4">
        <f>G59*I59</f>
        <v/>
      </c>
      <c r="K59" s="4" t="n">
        <v>120.19</v>
      </c>
      <c r="L59" s="4" t="n">
        <v>76.91833333333329</v>
      </c>
      <c r="M59" s="4" t="n">
        <v>76.9183</v>
      </c>
      <c r="N59" s="5">
        <f>K59/L59-1</f>
        <v/>
      </c>
      <c r="O59" s="7" t="inlineStr">
        <is>
          <t>ACIMA +56.3% (vs últ. compra)</t>
        </is>
      </c>
      <c r="P59" s="2" t="inlineStr"/>
    </row>
    <row r="60">
      <c r="A60" s="2" t="inlineStr"/>
      <c r="B60" s="2" t="n">
        <v>358321</v>
      </c>
      <c r="C60" s="2" t="inlineStr">
        <is>
          <t>7894916500333</t>
        </is>
      </c>
      <c r="D60" s="2" t="inlineStr"/>
      <c r="E60" s="2" t="inlineStr">
        <is>
          <t>NEUTROFER 300MG FR 30 COMP</t>
        </is>
      </c>
      <c r="F60" s="3" t="n">
        <v>1</v>
      </c>
      <c r="G60" s="3" t="n">
        <v>2</v>
      </c>
      <c r="H60" s="3" t="n">
        <v>2</v>
      </c>
      <c r="I60" s="4" t="n">
        <v>46.4928</v>
      </c>
      <c r="J60" s="4">
        <f>G60*I60</f>
        <v/>
      </c>
      <c r="K60" s="4" t="n">
        <v>46.4928</v>
      </c>
      <c r="L60" s="4" t="n">
        <v>45.04</v>
      </c>
      <c r="M60" s="4" t="n">
        <v>44.905</v>
      </c>
      <c r="N60" s="5">
        <f>K60/L60-1</f>
        <v/>
      </c>
      <c r="O60" s="7" t="inlineStr">
        <is>
          <t>ACIMA +3.2% (vs últ. compra)</t>
        </is>
      </c>
      <c r="P60" s="2" t="inlineStr"/>
    </row>
    <row r="61">
      <c r="A61" s="2" t="inlineStr"/>
      <c r="B61" s="2" t="n">
        <v>358301</v>
      </c>
      <c r="C61" s="2" t="inlineStr">
        <is>
          <t>7894916500272</t>
        </is>
      </c>
      <c r="D61" s="2" t="inlineStr"/>
      <c r="E61" s="2" t="inlineStr">
        <is>
          <t>NEUTROFER 500MG FR 30 COMP</t>
        </is>
      </c>
      <c r="F61" s="3" t="n">
        <v>1</v>
      </c>
      <c r="G61" s="3" t="n">
        <v>1</v>
      </c>
      <c r="H61" s="3" t="n">
        <v>1</v>
      </c>
      <c r="I61" s="4" t="n">
        <v>69.21599999999999</v>
      </c>
      <c r="J61" s="4">
        <f>G61*I61</f>
        <v/>
      </c>
      <c r="K61" s="4" t="n">
        <v>69.21599999999999</v>
      </c>
      <c r="L61" s="4" t="n">
        <v>67.05</v>
      </c>
      <c r="M61" s="4" t="n">
        <v>66.84999999999999</v>
      </c>
      <c r="N61" s="5">
        <f>K61/L61-1</f>
        <v/>
      </c>
      <c r="O61" s="7" t="inlineStr">
        <is>
          <t>ACIMA +3.2% (vs últ. compra)</t>
        </is>
      </c>
      <c r="P61" s="2" t="inlineStr"/>
    </row>
    <row r="62">
      <c r="A62" s="2" t="inlineStr"/>
      <c r="B62" s="2" t="n">
        <v>443</v>
      </c>
      <c r="C62" s="2" t="inlineStr">
        <is>
          <t>7891010704490</t>
        </is>
      </c>
      <c r="D62" s="2" t="inlineStr"/>
      <c r="E62" s="2" t="inlineStr">
        <is>
          <t>NEUTROG D CLEAN ESF ENER 100G</t>
        </is>
      </c>
      <c r="F62" s="3" t="n">
        <v>1</v>
      </c>
      <c r="G62" s="3" t="n">
        <v>1</v>
      </c>
      <c r="H62" s="3" t="n">
        <v>1</v>
      </c>
      <c r="I62" s="4" t="n">
        <v>33.46</v>
      </c>
      <c r="J62" s="4">
        <f>G62*I62</f>
        <v/>
      </c>
      <c r="K62" s="4" t="n">
        <v>33.46</v>
      </c>
      <c r="L62" s="4" t="n">
        <v>33.105</v>
      </c>
      <c r="M62" s="4" t="n">
        <v>33.105</v>
      </c>
      <c r="N62" s="5">
        <f>K62/L62-1</f>
        <v/>
      </c>
      <c r="O62" s="7" t="inlineStr">
        <is>
          <t>ACIMA +1.1% (vs últ. compra)</t>
        </is>
      </c>
      <c r="P62" s="2" t="inlineStr"/>
    </row>
    <row r="63">
      <c r="A63" s="2" t="inlineStr"/>
      <c r="B63" s="2" t="n">
        <v>669611</v>
      </c>
      <c r="C63" s="2" t="inlineStr">
        <is>
          <t>7891000417584</t>
        </is>
      </c>
      <c r="D63" s="2" t="inlineStr"/>
      <c r="E63" s="2" t="inlineStr">
        <is>
          <t>NUTREN MULTI A-Z 30CAPS SOFTGEL</t>
        </is>
      </c>
      <c r="F63" s="3" t="n">
        <v>1</v>
      </c>
      <c r="G63" s="3" t="n">
        <v>1</v>
      </c>
      <c r="H63" s="3" t="n">
        <v>1</v>
      </c>
      <c r="I63" s="4" t="n">
        <v>30.38</v>
      </c>
      <c r="J63" s="4">
        <f>G63*I63</f>
        <v/>
      </c>
      <c r="K63" s="4" t="n">
        <v>30.38</v>
      </c>
      <c r="L63" s="4" t="n">
        <v>27.21</v>
      </c>
      <c r="M63" s="4" t="n">
        <v>16.6</v>
      </c>
      <c r="N63" s="5">
        <f>K63/L63-1</f>
        <v/>
      </c>
      <c r="O63" s="7" t="inlineStr">
        <is>
          <t>ACIMA +11.7% (vs últ. compra)</t>
        </is>
      </c>
      <c r="P63" s="2" t="inlineStr"/>
    </row>
    <row r="64">
      <c r="A64" s="2" t="inlineStr"/>
      <c r="B64" s="2" t="n">
        <v>468981</v>
      </c>
      <c r="C64" s="2" t="inlineStr">
        <is>
          <t>7895858015824</t>
        </is>
      </c>
      <c r="D64" s="2" t="inlineStr"/>
      <c r="E64" s="2" t="inlineStr">
        <is>
          <t>OMCILON A 1,0MG/G PAS BG 10G</t>
        </is>
      </c>
      <c r="F64" s="3" t="n">
        <v>1</v>
      </c>
      <c r="G64" s="3" t="n">
        <v>4</v>
      </c>
      <c r="H64" s="3" t="n">
        <v>4</v>
      </c>
      <c r="I64" s="4" t="n">
        <v>17.8552</v>
      </c>
      <c r="J64" s="4">
        <f>G64*I64</f>
        <v/>
      </c>
      <c r="K64" s="4" t="n">
        <v>17.8552</v>
      </c>
      <c r="L64" s="4" t="n">
        <v>18.945</v>
      </c>
      <c r="M64" s="4" t="n">
        <v>16.8473</v>
      </c>
      <c r="N64" s="5">
        <f>K64/L64-1</f>
        <v/>
      </c>
      <c r="O64" s="6" t="inlineStr">
        <is>
          <t>OK (≤ últ. compra)</t>
        </is>
      </c>
      <c r="P64" s="2" t="inlineStr"/>
    </row>
    <row r="65">
      <c r="A65" s="2" t="inlineStr"/>
      <c r="B65" s="2" t="n">
        <v>452561</v>
      </c>
      <c r="C65" s="2" t="inlineStr">
        <is>
          <t>7898040320942</t>
        </is>
      </c>
      <c r="D65" s="2" t="inlineStr"/>
      <c r="E65" s="2" t="inlineStr">
        <is>
          <t>OTOSPORIN SOL OTO FR GTS 10ML</t>
        </is>
      </c>
      <c r="F65" s="3" t="n">
        <v>1</v>
      </c>
      <c r="G65" s="3" t="n">
        <v>2</v>
      </c>
      <c r="H65" s="3" t="n">
        <v>2</v>
      </c>
      <c r="I65" s="4" t="n">
        <v>12.9485</v>
      </c>
      <c r="J65" s="4">
        <f>G65*I65</f>
        <v/>
      </c>
      <c r="K65" s="4" t="n">
        <v>12.9485</v>
      </c>
      <c r="L65" s="4" t="n">
        <v>11.99</v>
      </c>
      <c r="M65" s="4" t="n">
        <v>11.9875</v>
      </c>
      <c r="N65" s="5">
        <f>K65/L65-1</f>
        <v/>
      </c>
      <c r="O65" s="7" t="inlineStr">
        <is>
          <t>ACIMA +8.0% (vs últ. compra)</t>
        </is>
      </c>
      <c r="P65" s="2" t="inlineStr"/>
    </row>
    <row r="66">
      <c r="A66" s="2" t="inlineStr"/>
      <c r="B66" s="2" t="n">
        <v>594751</v>
      </c>
      <c r="C66" s="2" t="inlineStr">
        <is>
          <t>7891024179925</t>
        </is>
      </c>
      <c r="D66" s="2" t="inlineStr"/>
      <c r="E66" s="2" t="inlineStr">
        <is>
          <t>PERIOGARD S/ALCOOL 250ML</t>
        </is>
      </c>
      <c r="F66" s="3" t="n">
        <v>1</v>
      </c>
      <c r="G66" s="3" t="n">
        <v>2</v>
      </c>
      <c r="H66" s="3" t="n">
        <v>2</v>
      </c>
      <c r="I66" s="4" t="n">
        <v>25.344</v>
      </c>
      <c r="J66" s="4">
        <f>G66*I66</f>
        <v/>
      </c>
      <c r="K66" s="4" t="n">
        <v>25.344</v>
      </c>
      <c r="L66" s="4" t="n">
        <v>25.345</v>
      </c>
      <c r="M66" s="4" t="n">
        <v>22.4675</v>
      </c>
      <c r="N66" s="5">
        <f>K66/L66-1</f>
        <v/>
      </c>
      <c r="O66" s="6" t="inlineStr">
        <is>
          <t>OK (≤ últ. compra)</t>
        </is>
      </c>
      <c r="P66" s="2" t="inlineStr"/>
    </row>
    <row r="67">
      <c r="A67" s="2" t="inlineStr"/>
      <c r="B67" s="2" t="n">
        <v>553021</v>
      </c>
      <c r="C67" s="2" t="inlineStr">
        <is>
          <t>7896676434323</t>
        </is>
      </c>
      <c r="D67" s="2" t="inlineStr"/>
      <c r="E67" s="2" t="inlineStr">
        <is>
          <t>PHOSFOENEMA 160+60MG/ML ENEMA FR 130ML</t>
        </is>
      </c>
      <c r="F67" s="3" t="n">
        <v>1</v>
      </c>
      <c r="G67" s="3" t="n">
        <v>3</v>
      </c>
      <c r="H67" s="3" t="n">
        <v>3</v>
      </c>
      <c r="I67" s="4" t="n">
        <v>16.7136</v>
      </c>
      <c r="J67" s="4">
        <f>G67*I67</f>
        <v/>
      </c>
      <c r="K67" s="4" t="n">
        <v>16.7136</v>
      </c>
      <c r="L67" s="4" t="n">
        <v>16.8266666666667</v>
      </c>
      <c r="M67" s="4" t="n">
        <v>14.228</v>
      </c>
      <c r="N67" s="5">
        <f>K67/L67-1</f>
        <v/>
      </c>
      <c r="O67" s="6" t="inlineStr">
        <is>
          <t>OK (≤ últ. compra)</t>
        </is>
      </c>
      <c r="P67" s="2" t="inlineStr"/>
    </row>
    <row r="68">
      <c r="A68" s="2" t="inlineStr"/>
      <c r="B68" s="2" t="n">
        <v>159781</v>
      </c>
      <c r="C68" s="2" t="inlineStr">
        <is>
          <t>7891058059149</t>
        </is>
      </c>
      <c r="D68" s="2" t="inlineStr"/>
      <c r="E68" s="2" t="inlineStr">
        <is>
          <t>PLASIL 10MG CX 20 COMP</t>
        </is>
      </c>
      <c r="F68" s="3" t="n">
        <v>1</v>
      </c>
      <c r="G68" s="3" t="n">
        <v>7</v>
      </c>
      <c r="H68" s="3" t="n">
        <v>7</v>
      </c>
      <c r="I68" s="4" t="n">
        <v>11.32</v>
      </c>
      <c r="J68" s="4">
        <f>G68*I68</f>
        <v/>
      </c>
      <c r="K68" s="4" t="n">
        <v>11.32</v>
      </c>
      <c r="L68" s="4" t="n">
        <v>11.352</v>
      </c>
      <c r="M68" s="4" t="n">
        <v>9.918900000000001</v>
      </c>
      <c r="N68" s="5">
        <f>K68/L68-1</f>
        <v/>
      </c>
      <c r="O68" s="6" t="inlineStr">
        <is>
          <t>OK (≤ últ. compra)</t>
        </is>
      </c>
      <c r="P68" s="2" t="inlineStr">
        <is>
          <t>estoque parcial (5 un)</t>
        </is>
      </c>
    </row>
    <row r="69">
      <c r="A69" s="2" t="inlineStr"/>
      <c r="B69" s="2" t="n">
        <v>566961</v>
      </c>
      <c r="C69" s="2" t="inlineStr">
        <is>
          <t>4005808555345</t>
        </is>
      </c>
      <c r="D69" s="2" t="inlineStr"/>
      <c r="E69" s="2" t="inlineStr">
        <is>
          <t>PROT NIVEA SOLAR SUN PROT  HIDRAT FPS50 200ML</t>
        </is>
      </c>
      <c r="F69" s="3" t="n">
        <v>1</v>
      </c>
      <c r="G69" s="3" t="n">
        <v>2</v>
      </c>
      <c r="H69" s="3" t="n">
        <v>2</v>
      </c>
      <c r="I69" s="4" t="n">
        <v>61.46</v>
      </c>
      <c r="J69" s="4">
        <f>G69*I69</f>
        <v/>
      </c>
      <c r="K69" s="4" t="n">
        <v>61.46</v>
      </c>
      <c r="L69" s="4" t="n">
        <v>50.005</v>
      </c>
      <c r="M69" s="4" t="n">
        <v>50.005</v>
      </c>
      <c r="N69" s="5">
        <f>K69/L69-1</f>
        <v/>
      </c>
      <c r="O69" s="7" t="inlineStr">
        <is>
          <t>ACIMA +22.9% (vs últ. compra)</t>
        </is>
      </c>
      <c r="P69" s="2" t="inlineStr"/>
    </row>
    <row r="70">
      <c r="A70" s="2" t="inlineStr"/>
      <c r="B70" s="2" t="n">
        <v>69341</v>
      </c>
      <c r="C70" s="2" t="inlineStr">
        <is>
          <t>7896206401610</t>
        </is>
      </c>
      <c r="D70" s="2" t="inlineStr"/>
      <c r="E70" s="2" t="inlineStr">
        <is>
          <t>PULMICORT 0,25MG SUS EMBALAGEM FRACIONADA (5 FC)</t>
        </is>
      </c>
      <c r="F70" s="3" t="n">
        <v>4</v>
      </c>
      <c r="G70" s="3" t="n">
        <v>1</v>
      </c>
      <c r="H70" s="3" t="n">
        <v>4</v>
      </c>
      <c r="I70" s="4" t="n">
        <v>171.0498</v>
      </c>
      <c r="J70" s="4">
        <f>G70*I70</f>
        <v/>
      </c>
      <c r="K70" s="4" t="n">
        <v>42.76245</v>
      </c>
      <c r="L70" s="4" t="n">
        <v>43.52225</v>
      </c>
      <c r="M70" s="4" t="n">
        <v>39.2025</v>
      </c>
      <c r="N70" s="5">
        <f>K70/L70-1</f>
        <v/>
      </c>
      <c r="O70" s="6" t="inlineStr">
        <is>
          <t>OK (≤ últ. compra)</t>
        </is>
      </c>
      <c r="P70" s="2" t="inlineStr"/>
    </row>
    <row r="71">
      <c r="A71" s="2" t="inlineStr"/>
      <c r="B71" s="2" t="n">
        <v>500201</v>
      </c>
      <c r="C71" s="2" t="inlineStr">
        <is>
          <t>7897595901309</t>
        </is>
      </c>
      <c r="D71" s="2" t="inlineStr"/>
      <c r="E71" s="2" t="inlineStr">
        <is>
          <t>PURAN T4 25MCG CX 30 COMP</t>
        </is>
      </c>
      <c r="F71" s="3" t="n">
        <v>1</v>
      </c>
      <c r="G71" s="3" t="n">
        <v>12</v>
      </c>
      <c r="H71" s="3" t="n">
        <v>12</v>
      </c>
      <c r="I71" s="4" t="n">
        <v>13.2672</v>
      </c>
      <c r="J71" s="4">
        <f>G71*I71</f>
        <v/>
      </c>
      <c r="K71" s="4" t="n">
        <v>13.2672</v>
      </c>
      <c r="L71" s="4" t="n">
        <v>13.3466666666667</v>
      </c>
      <c r="M71" s="4" t="n">
        <v>11.0783</v>
      </c>
      <c r="N71" s="5">
        <f>K71/L71-1</f>
        <v/>
      </c>
      <c r="O71" s="6" t="inlineStr">
        <is>
          <t>OK (≤ últ. compra)</t>
        </is>
      </c>
      <c r="P71" s="2" t="inlineStr"/>
    </row>
    <row r="72">
      <c r="A72" s="2" t="inlineStr"/>
      <c r="B72" s="2" t="n">
        <v>509861</v>
      </c>
      <c r="C72" s="2" t="inlineStr">
        <is>
          <t>7896672203909</t>
        </is>
      </c>
      <c r="D72" s="2" t="inlineStr"/>
      <c r="E72" s="2" t="inlineStr">
        <is>
          <t>PV - BRONCHO-VAXOM 3,5MG PO LIOF CX 10 CAP</t>
        </is>
      </c>
      <c r="F72" s="3" t="n">
        <v>1</v>
      </c>
      <c r="G72" s="3" t="n">
        <v>1</v>
      </c>
      <c r="H72" s="3" t="n">
        <v>1</v>
      </c>
      <c r="I72" s="4" t="n">
        <v>53.7792</v>
      </c>
      <c r="J72" s="4">
        <f>G72*I72</f>
        <v/>
      </c>
      <c r="K72" s="4" t="n">
        <v>53.7792</v>
      </c>
      <c r="L72" s="4" t="n">
        <v>49.26</v>
      </c>
      <c r="M72" s="4" t="n">
        <v>49.26</v>
      </c>
      <c r="N72" s="5">
        <f>K72/L72-1</f>
        <v/>
      </c>
      <c r="O72" s="7" t="inlineStr">
        <is>
          <t>ACIMA +9.2% (vs últ. compra)</t>
        </is>
      </c>
      <c r="P72" s="2" t="inlineStr"/>
    </row>
    <row r="73">
      <c r="A73" s="2" t="inlineStr"/>
      <c r="B73" s="2" t="n">
        <v>204241</v>
      </c>
      <c r="C73" s="2" t="inlineStr">
        <is>
          <t>7897337713399</t>
        </is>
      </c>
      <c r="D73" s="2" t="inlineStr"/>
      <c r="E73" s="2" t="inlineStr">
        <is>
          <t>PV- PEROLA 0,075MG (CARTELA) C/28CP</t>
        </is>
      </c>
      <c r="F73" s="3" t="n">
        <v>1</v>
      </c>
      <c r="G73" s="3" t="n">
        <v>1</v>
      </c>
      <c r="H73" s="3" t="n">
        <v>1</v>
      </c>
      <c r="I73" s="4" t="n">
        <v>92.628</v>
      </c>
      <c r="J73" s="4">
        <f>G73*I73</f>
        <v/>
      </c>
      <c r="K73" s="4" t="n">
        <v>92.628</v>
      </c>
      <c r="L73" s="4" t="n">
        <v>86.43000000000001</v>
      </c>
      <c r="M73" s="4" t="n">
        <v>86.43000000000001</v>
      </c>
      <c r="N73" s="5">
        <f>K73/L73-1</f>
        <v/>
      </c>
      <c r="O73" s="7" t="inlineStr">
        <is>
          <t>ACIMA +7.2% (vs últ. compra)</t>
        </is>
      </c>
      <c r="P73" s="2" t="inlineStr"/>
    </row>
    <row r="74">
      <c r="A74" s="2" t="inlineStr"/>
      <c r="B74" s="2" t="n">
        <v>649771</v>
      </c>
      <c r="C74" s="2" t="inlineStr">
        <is>
          <t>7896676440492</t>
        </is>
      </c>
      <c r="D74" s="2" t="inlineStr"/>
      <c r="E74" s="2" t="inlineStr">
        <is>
          <t>PVV - CUTISANOL BABY CREME 120G-DEMAIS PROD</t>
        </is>
      </c>
      <c r="F74" s="3" t="n">
        <v>1</v>
      </c>
      <c r="G74" s="3" t="n">
        <v>1</v>
      </c>
      <c r="H74" s="3" t="n">
        <v>1</v>
      </c>
      <c r="I74" s="4" t="n">
        <v>47.54555000000001</v>
      </c>
      <c r="J74" s="4">
        <f>G74*I74</f>
        <v/>
      </c>
      <c r="K74" s="4" t="n">
        <v>47.54555000000001</v>
      </c>
      <c r="L74" s="4" t="n">
        <v>33.0066666666667</v>
      </c>
      <c r="M74" s="4" t="n">
        <v>33.0066666666667</v>
      </c>
      <c r="N74" s="5">
        <f>K74/L74-1</f>
        <v/>
      </c>
      <c r="O74" s="7" t="inlineStr">
        <is>
          <t>ACIMA +44.0% (vs últ. compra)</t>
        </is>
      </c>
      <c r="P74" s="2" t="inlineStr"/>
    </row>
    <row r="75">
      <c r="A75" s="2" t="inlineStr"/>
      <c r="B75" s="2" t="n">
        <v>654181</v>
      </c>
      <c r="C75" s="2" t="inlineStr">
        <is>
          <t>7896112409625</t>
        </is>
      </c>
      <c r="D75" s="2" t="inlineStr"/>
      <c r="E75" s="2" t="inlineStr">
        <is>
          <t>PVV - FLY GOTAS 150MG LAR 15ML</t>
        </is>
      </c>
      <c r="F75" s="3" t="n">
        <v>1</v>
      </c>
      <c r="G75" s="3" t="n">
        <v>1</v>
      </c>
      <c r="H75" s="3" t="n">
        <v>1</v>
      </c>
      <c r="I75" s="4" t="n">
        <v>20.74</v>
      </c>
      <c r="J75" s="4">
        <f>G75*I75</f>
        <v/>
      </c>
      <c r="K75" s="4" t="n">
        <v>20.74</v>
      </c>
      <c r="L75" s="4" t="n">
        <v>28.935</v>
      </c>
      <c r="M75" s="4" t="n">
        <v>28.935</v>
      </c>
      <c r="N75" s="5">
        <f>K75/L75-1</f>
        <v/>
      </c>
      <c r="O75" s="6" t="inlineStr">
        <is>
          <t>OK (≤ menor hist.)</t>
        </is>
      </c>
      <c r="P75" s="2" t="inlineStr"/>
    </row>
    <row r="76">
      <c r="A76" s="2" t="inlineStr"/>
      <c r="B76" s="2" t="n">
        <v>146041</v>
      </c>
      <c r="C76" s="2" t="inlineStr">
        <is>
          <t>7892953001370</t>
        </is>
      </c>
      <c r="D76" s="2" t="inlineStr"/>
      <c r="E76" s="2" t="inlineStr">
        <is>
          <t>PYRIDIUM 100MG CX 25 COMP REV</t>
        </is>
      </c>
      <c r="F76" s="3" t="n">
        <v>1</v>
      </c>
      <c r="G76" s="3" t="n">
        <v>1</v>
      </c>
      <c r="H76" s="3" t="n">
        <v>1</v>
      </c>
      <c r="I76" s="4" t="n">
        <v>19.1845</v>
      </c>
      <c r="J76" s="4">
        <f>G76*I76</f>
        <v/>
      </c>
      <c r="K76" s="4" t="n">
        <v>19.1845</v>
      </c>
      <c r="L76" s="4" t="n">
        <v>20.171</v>
      </c>
      <c r="M76" s="4" t="n">
        <v>15.5345</v>
      </c>
      <c r="N76" s="5">
        <f>K76/L76-1</f>
        <v/>
      </c>
      <c r="O76" s="6" t="inlineStr">
        <is>
          <t>OK (≤ últ. compra)</t>
        </is>
      </c>
      <c r="P76" s="2" t="inlineStr"/>
    </row>
    <row r="77">
      <c r="A77" s="2" t="inlineStr"/>
      <c r="B77" s="2" t="n">
        <v>146061</v>
      </c>
      <c r="C77" s="2" t="inlineStr">
        <is>
          <t>7892953001387</t>
        </is>
      </c>
      <c r="D77" s="2" t="inlineStr"/>
      <c r="E77" s="2" t="inlineStr">
        <is>
          <t>PYRIDIUM 200MG CX 18 COMP REV</t>
        </is>
      </c>
      <c r="F77" s="3" t="n">
        <v>1</v>
      </c>
      <c r="G77" s="3" t="n">
        <v>2</v>
      </c>
      <c r="H77" s="3" t="n">
        <v>2</v>
      </c>
      <c r="I77" s="4" t="n">
        <v>23.0265</v>
      </c>
      <c r="J77" s="4">
        <f>G77*I77</f>
        <v/>
      </c>
      <c r="K77" s="4" t="n">
        <v>23.0265</v>
      </c>
      <c r="L77" s="4" t="n">
        <v>24.21</v>
      </c>
      <c r="M77" s="4" t="n">
        <v>19.4555</v>
      </c>
      <c r="N77" s="5">
        <f>K77/L77-1</f>
        <v/>
      </c>
      <c r="O77" s="6" t="inlineStr">
        <is>
          <t>OK (≤ últ. compra)</t>
        </is>
      </c>
      <c r="P77" s="2" t="inlineStr"/>
    </row>
    <row r="78">
      <c r="A78" s="2" t="inlineStr"/>
      <c r="B78" s="2" t="n">
        <v>622891</v>
      </c>
      <c r="C78" s="2" t="inlineStr">
        <is>
          <t>7891106908535</t>
        </is>
      </c>
      <c r="D78" s="2" t="inlineStr"/>
      <c r="E78" s="2" t="inlineStr">
        <is>
          <t>REDOXITOS LARANJA 25 UNIDADES-DEMAIS PROD</t>
        </is>
      </c>
      <c r="F78" s="3" t="n">
        <v>1</v>
      </c>
      <c r="G78" s="3" t="n">
        <v>1</v>
      </c>
      <c r="H78" s="3" t="n">
        <v>1</v>
      </c>
      <c r="I78" s="4" t="n">
        <v>16.58</v>
      </c>
      <c r="J78" s="4">
        <f>G78*I78</f>
        <v/>
      </c>
      <c r="K78" s="4" t="n">
        <v>16.58</v>
      </c>
      <c r="L78" s="4" t="n">
        <v>16.18</v>
      </c>
      <c r="M78" s="4" t="n">
        <v>14.7067</v>
      </c>
      <c r="N78" s="5">
        <f>K78/L78-1</f>
        <v/>
      </c>
      <c r="O78" s="7" t="inlineStr">
        <is>
          <t>ACIMA +2.5% (vs últ. compra)</t>
        </is>
      </c>
      <c r="P78" s="2" t="inlineStr"/>
    </row>
    <row r="79">
      <c r="A79" s="2" t="inlineStr"/>
      <c r="B79" s="2" t="n">
        <v>664401</v>
      </c>
      <c r="C79" s="2" t="inlineStr">
        <is>
          <t>7899420508370</t>
        </is>
      </c>
      <c r="D79" s="2" t="inlineStr"/>
      <c r="E79" s="2" t="inlineStr">
        <is>
          <t>RENOVI B PLUS 5+100+100+4,3MG SOL INJ 3 DOSES AMP</t>
        </is>
      </c>
      <c r="F79" s="3" t="n">
        <v>1</v>
      </c>
      <c r="G79" s="3" t="n">
        <v>1</v>
      </c>
      <c r="H79" s="3" t="n">
        <v>1</v>
      </c>
      <c r="I79" s="4" t="n">
        <v>39.7248</v>
      </c>
      <c r="J79" s="4">
        <f>G79*I79</f>
        <v/>
      </c>
      <c r="K79" s="4" t="n">
        <v>39.7248</v>
      </c>
      <c r="L79" s="4" t="n">
        <v>37.9566666666667</v>
      </c>
      <c r="M79" s="4" t="n">
        <v>37.9566666666667</v>
      </c>
      <c r="N79" s="5">
        <f>K79/L79-1</f>
        <v/>
      </c>
      <c r="O79" s="7" t="inlineStr">
        <is>
          <t>ACIMA +4.7% (vs últ. compra)</t>
        </is>
      </c>
      <c r="P79" s="2" t="inlineStr"/>
    </row>
    <row r="80">
      <c r="A80" s="2" t="inlineStr"/>
      <c r="B80" s="2" t="n">
        <v>553</v>
      </c>
      <c r="C80" s="2" t="inlineStr">
        <is>
          <t>310119033227</t>
        </is>
      </c>
      <c r="D80" s="2" t="inlineStr"/>
      <c r="E80" s="2" t="inlineStr">
        <is>
          <t>RENU PLUS SOL MULTI-USO S/ FRICCAO FR 120ML (+12% IPI)</t>
        </is>
      </c>
      <c r="F80" s="3" t="n">
        <v>1</v>
      </c>
      <c r="G80" s="3" t="n">
        <v>1</v>
      </c>
      <c r="H80" s="3" t="n">
        <v>1</v>
      </c>
      <c r="I80" s="4" t="n">
        <v>40.8054</v>
      </c>
      <c r="J80" s="4">
        <f>G80*I80</f>
        <v/>
      </c>
      <c r="K80" s="4" t="n">
        <v>40.8054</v>
      </c>
      <c r="L80" s="4" t="n">
        <v>37.74</v>
      </c>
      <c r="M80" s="4" t="n">
        <v>31.97</v>
      </c>
      <c r="N80" s="5">
        <f>K80/L80-1</f>
        <v/>
      </c>
      <c r="O80" s="7" t="inlineStr">
        <is>
          <t>ACIMA +8.1% (vs últ. compra)</t>
        </is>
      </c>
      <c r="P80" s="2" t="inlineStr"/>
    </row>
    <row r="81">
      <c r="A81" s="2" t="inlineStr"/>
      <c r="B81" s="2" t="n">
        <v>427821</v>
      </c>
      <c r="C81" s="2" t="inlineStr">
        <is>
          <t>8902220109506</t>
        </is>
      </c>
      <c r="D81" s="2" t="inlineStr"/>
      <c r="E81" s="2" t="inlineStr">
        <is>
          <t>ROSUCOR 10MG CX 30 COMP REV</t>
        </is>
      </c>
      <c r="F81" s="3" t="n">
        <v>1</v>
      </c>
      <c r="G81" s="3" t="n">
        <v>1</v>
      </c>
      <c r="H81" s="3" t="n">
        <v>1</v>
      </c>
      <c r="I81" s="4" t="n">
        <v>34.88</v>
      </c>
      <c r="J81" s="4">
        <f>G81*I81</f>
        <v/>
      </c>
      <c r="K81" s="4" t="n">
        <v>34.88</v>
      </c>
      <c r="L81" s="4" t="n">
        <v>33.14</v>
      </c>
      <c r="M81" s="4" t="n">
        <v>28.21</v>
      </c>
      <c r="N81" s="5">
        <f>K81/L81-1</f>
        <v/>
      </c>
      <c r="O81" s="7" t="inlineStr">
        <is>
          <t>ACIMA +5.3% (vs últ. compra)</t>
        </is>
      </c>
      <c r="P81" s="2" t="inlineStr"/>
    </row>
    <row r="82">
      <c r="A82" s="2" t="inlineStr"/>
      <c r="B82" s="2" t="n">
        <v>427841</v>
      </c>
      <c r="C82" s="2" t="inlineStr">
        <is>
          <t>8902220109520</t>
        </is>
      </c>
      <c r="D82" s="2" t="inlineStr"/>
      <c r="E82" s="2" t="inlineStr">
        <is>
          <t>ROSUCOR 20MG CX 30 COMP REV</t>
        </is>
      </c>
      <c r="F82" s="3" t="n">
        <v>1</v>
      </c>
      <c r="G82" s="3" t="n">
        <v>1</v>
      </c>
      <c r="H82" s="3" t="n">
        <v>1</v>
      </c>
      <c r="I82" s="4" t="n">
        <v>59.65</v>
      </c>
      <c r="J82" s="4">
        <f>G82*I82</f>
        <v/>
      </c>
      <c r="K82" s="4" t="n">
        <v>59.65</v>
      </c>
      <c r="L82" s="4" t="n">
        <v>58.89</v>
      </c>
      <c r="M82" s="4" t="n">
        <v>46.56</v>
      </c>
      <c r="N82" s="5">
        <f>K82/L82-1</f>
        <v/>
      </c>
      <c r="O82" s="7" t="inlineStr">
        <is>
          <t>ACIMA +1.3% (vs últ. compra)</t>
        </is>
      </c>
      <c r="P82" s="2" t="inlineStr"/>
    </row>
    <row r="83">
      <c r="A83" s="2" t="inlineStr"/>
      <c r="B83" s="2" t="n">
        <v>611001</v>
      </c>
      <c r="C83" s="2" t="inlineStr">
        <is>
          <t>4005900945709</t>
        </is>
      </c>
      <c r="D83" s="2" t="inlineStr"/>
      <c r="E83" s="2" t="inlineStr">
        <is>
          <t>SAB NIVEA GEL ACNE CONTROL 150G</t>
        </is>
      </c>
      <c r="F83" s="3" t="n">
        <v>1</v>
      </c>
      <c r="G83" s="3" t="n">
        <v>1</v>
      </c>
      <c r="H83" s="3" t="n">
        <v>1</v>
      </c>
      <c r="I83" s="4" t="n">
        <v>28.59</v>
      </c>
      <c r="J83" s="4">
        <f>G83*I83</f>
        <v/>
      </c>
      <c r="K83" s="4" t="n">
        <v>28.59</v>
      </c>
      <c r="L83" s="4" t="n">
        <v>23.5633333333333</v>
      </c>
      <c r="M83" s="4" t="n">
        <v>23.5633</v>
      </c>
      <c r="N83" s="5">
        <f>K83/L83-1</f>
        <v/>
      </c>
      <c r="O83" s="7" t="inlineStr">
        <is>
          <t>ACIMA +21.3% (vs últ. compra)</t>
        </is>
      </c>
      <c r="P83" s="2" t="inlineStr"/>
    </row>
    <row r="84">
      <c r="A84" s="2" t="inlineStr"/>
      <c r="B84" s="2" t="n">
        <v>318421</v>
      </c>
      <c r="C84" s="2" t="inlineStr">
        <is>
          <t>7896227800812</t>
        </is>
      </c>
      <c r="D84" s="2" t="inlineStr"/>
      <c r="E84" s="2" t="inlineStr">
        <is>
          <t>SALONPAS 144,0+131,0+28,4MG  CX 2 UNID. ADES TAM GDE</t>
        </is>
      </c>
      <c r="F84" s="3" t="n">
        <v>1</v>
      </c>
      <c r="G84" s="3" t="n">
        <v>29</v>
      </c>
      <c r="H84" s="3" t="n">
        <v>29</v>
      </c>
      <c r="I84" s="4" t="n">
        <v>8.220000000000001</v>
      </c>
      <c r="J84" s="4">
        <f>G84*I84</f>
        <v/>
      </c>
      <c r="K84" s="4" t="n">
        <v>8.220000000000001</v>
      </c>
      <c r="L84" s="4" t="n">
        <v>8.029545454545451</v>
      </c>
      <c r="M84" s="4" t="n">
        <v>6.1254</v>
      </c>
      <c r="N84" s="5">
        <f>K84/L84-1</f>
        <v/>
      </c>
      <c r="O84" s="7" t="inlineStr">
        <is>
          <t>ACIMA +2.4% (vs últ. compra)</t>
        </is>
      </c>
      <c r="P84" s="2" t="inlineStr"/>
    </row>
    <row r="85">
      <c r="A85" s="2" t="inlineStr"/>
      <c r="B85" s="2" t="n">
        <v>318441</v>
      </c>
      <c r="C85" s="2" t="inlineStr">
        <is>
          <t>7896227800829</t>
        </is>
      </c>
      <c r="D85" s="2" t="inlineStr"/>
      <c r="E85" s="2" t="inlineStr">
        <is>
          <t>SALONPAS 144,0+131,0+28,4MG CX 4 UNID. ADES TAM GDE</t>
        </is>
      </c>
      <c r="F85" s="3" t="n">
        <v>1</v>
      </c>
      <c r="G85" s="3" t="n">
        <v>46</v>
      </c>
      <c r="H85" s="3" t="n">
        <v>46</v>
      </c>
      <c r="I85" s="4" t="n">
        <v>14.8</v>
      </c>
      <c r="J85" s="4">
        <f>G85*I85</f>
        <v/>
      </c>
      <c r="K85" s="4" t="n">
        <v>14.8</v>
      </c>
      <c r="L85" s="4" t="n">
        <v>15.380303030303</v>
      </c>
      <c r="M85" s="4" t="n">
        <v>11.0372</v>
      </c>
      <c r="N85" s="5">
        <f>K85/L85-1</f>
        <v/>
      </c>
      <c r="O85" s="6" t="inlineStr">
        <is>
          <t>OK (≤ últ. compra)</t>
        </is>
      </c>
      <c r="P85" s="2" t="inlineStr"/>
    </row>
    <row r="86">
      <c r="A86" s="2" t="inlineStr"/>
      <c r="B86" s="2" t="n">
        <v>318381</v>
      </c>
      <c r="C86" s="2" t="inlineStr">
        <is>
          <t>7896227800805</t>
        </is>
      </c>
      <c r="D86" s="2" t="inlineStr"/>
      <c r="E86" s="2" t="inlineStr">
        <is>
          <t>SALONPAS 36,0MG+33,0MG+7,1MG CX 10 UNID. ADES TAM PEQ</t>
        </is>
      </c>
      <c r="F86" s="3" t="n">
        <v>1</v>
      </c>
      <c r="G86" s="3" t="n">
        <v>16</v>
      </c>
      <c r="H86" s="3" t="n">
        <v>16</v>
      </c>
      <c r="I86" s="4" t="n">
        <v>9.279999999999999</v>
      </c>
      <c r="J86" s="4">
        <f>G86*I86</f>
        <v/>
      </c>
      <c r="K86" s="4" t="n">
        <v>9.279999999999999</v>
      </c>
      <c r="L86" s="4" t="n">
        <v>8.486000000000001</v>
      </c>
      <c r="M86" s="4" t="n">
        <v>6.9125</v>
      </c>
      <c r="N86" s="5">
        <f>K86/L86-1</f>
        <v/>
      </c>
      <c r="O86" s="7" t="inlineStr">
        <is>
          <t>ACIMA +9.4% (vs últ. compra)</t>
        </is>
      </c>
      <c r="P86" s="2" t="inlineStr"/>
    </row>
    <row r="87">
      <c r="A87" s="2" t="inlineStr"/>
      <c r="B87" s="2" t="n">
        <v>264541</v>
      </c>
      <c r="C87" s="2" t="inlineStr">
        <is>
          <t>7894916512107</t>
        </is>
      </c>
      <c r="D87" s="2" t="inlineStr"/>
      <c r="E87" s="2" t="inlineStr">
        <is>
          <t>SOMALGIN CARDIO 81MG 6 BLT 10 COMP REV-S</t>
        </is>
      </c>
      <c r="F87" s="3" t="n">
        <v>1</v>
      </c>
      <c r="G87" s="3" t="n">
        <v>1</v>
      </c>
      <c r="H87" s="3" t="n">
        <v>1</v>
      </c>
      <c r="I87" s="4" t="n">
        <v>23.6352</v>
      </c>
      <c r="J87" s="4">
        <f>G87*I87</f>
        <v/>
      </c>
      <c r="K87" s="4" t="n">
        <v>23.6352</v>
      </c>
      <c r="L87" s="4" t="n">
        <v>22.9</v>
      </c>
      <c r="M87" s="4" t="n">
        <v>21.925</v>
      </c>
      <c r="N87" s="5">
        <f>K87/L87-1</f>
        <v/>
      </c>
      <c r="O87" s="7" t="inlineStr">
        <is>
          <t>ACIMA +3.2% (vs últ. compra)</t>
        </is>
      </c>
      <c r="P87" s="2" t="inlineStr"/>
    </row>
    <row r="88">
      <c r="A88" s="2" t="inlineStr"/>
      <c r="B88" s="2" t="n">
        <v>614861</v>
      </c>
      <c r="C88" s="2" t="inlineStr">
        <is>
          <t>7891317011277</t>
        </is>
      </c>
      <c r="D88" s="2" t="inlineStr"/>
      <c r="E88" s="2" t="inlineStr">
        <is>
          <t>SONIC 50MG CX 60 COMP REV</t>
        </is>
      </c>
      <c r="F88" s="3" t="n">
        <v>1</v>
      </c>
      <c r="G88" s="3" t="n">
        <v>2</v>
      </c>
      <c r="H88" s="3" t="n">
        <v>2</v>
      </c>
      <c r="I88" s="4" t="n">
        <v>40.7424</v>
      </c>
      <c r="J88" s="4">
        <f>G88*I88</f>
        <v/>
      </c>
      <c r="K88" s="4" t="n">
        <v>40.7424</v>
      </c>
      <c r="L88" s="4" t="n">
        <v>41.02</v>
      </c>
      <c r="M88" s="4" t="n">
        <v>37.98</v>
      </c>
      <c r="N88" s="5">
        <f>K88/L88-1</f>
        <v/>
      </c>
      <c r="O88" s="6" t="inlineStr">
        <is>
          <t>OK (≤ últ. compra)</t>
        </is>
      </c>
      <c r="P88" s="2" t="inlineStr"/>
    </row>
    <row r="89">
      <c r="A89" s="2" t="inlineStr"/>
      <c r="B89" s="2" t="n">
        <v>526121</v>
      </c>
      <c r="C89" s="2" t="inlineStr">
        <is>
          <t>5060632508768</t>
        </is>
      </c>
      <c r="D89" s="2" t="inlineStr"/>
      <c r="E89" s="2" t="inlineStr">
        <is>
          <t>STEZZA 2,5+1,5MG CX 24 COMP REV+CALEND+4 PLACEBO</t>
        </is>
      </c>
      <c r="F89" s="3" t="n">
        <v>1</v>
      </c>
      <c r="G89" s="3" t="n">
        <v>1</v>
      </c>
      <c r="H89" s="3" t="n">
        <v>1</v>
      </c>
      <c r="I89" s="4" t="n">
        <v>46.39</v>
      </c>
      <c r="J89" s="4">
        <f>G89*I89</f>
        <v/>
      </c>
      <c r="K89" s="4" t="n">
        <v>46.39</v>
      </c>
      <c r="L89" s="4" t="n">
        <v>48.21</v>
      </c>
      <c r="M89" s="4" t="n">
        <v>41.29</v>
      </c>
      <c r="N89" s="5">
        <f>K89/L89-1</f>
        <v/>
      </c>
      <c r="O89" s="6" t="inlineStr">
        <is>
          <t>OK (≤ últ. compra)</t>
        </is>
      </c>
      <c r="P89" s="2" t="inlineStr"/>
    </row>
    <row r="90">
      <c r="A90" s="2" t="inlineStr"/>
      <c r="B90" s="2" t="n">
        <v>572301</v>
      </c>
      <c r="C90" s="2" t="inlineStr">
        <is>
          <t>7891317009755</t>
        </is>
      </c>
      <c r="D90" s="2" t="inlineStr"/>
      <c r="E90" s="2" t="inlineStr">
        <is>
          <t>TAMISA NF 0,075+0,030MG SEM PARAR (CAIXA C/ 3 CARTELAS)</t>
        </is>
      </c>
      <c r="F90" s="3" t="n">
        <v>1</v>
      </c>
      <c r="G90" s="3" t="n">
        <v>4</v>
      </c>
      <c r="H90" s="3" t="n">
        <v>4</v>
      </c>
      <c r="I90" s="4" t="n">
        <v>91.95840000000001</v>
      </c>
      <c r="J90" s="4">
        <f>G90*I90</f>
        <v/>
      </c>
      <c r="K90" s="4" t="n">
        <v>91.95840000000001</v>
      </c>
      <c r="L90" s="4" t="n">
        <v>30.3333333333333</v>
      </c>
      <c r="M90" s="4" t="n">
        <v>11.3522</v>
      </c>
      <c r="N90" s="5">
        <f>K90/L90-1</f>
        <v/>
      </c>
      <c r="O90" s="7" t="inlineStr">
        <is>
          <t>ACIMA +203.2% (vs últ. compra)</t>
        </is>
      </c>
      <c r="P90" s="2" t="inlineStr"/>
    </row>
    <row r="91">
      <c r="A91" s="2" t="inlineStr"/>
      <c r="B91" s="2" t="n">
        <v>345721</v>
      </c>
      <c r="C91" s="2" t="inlineStr">
        <is>
          <t>7892953101865</t>
        </is>
      </c>
      <c r="D91" s="2" t="inlineStr"/>
      <c r="E91" s="2" t="inlineStr">
        <is>
          <t>TECNOMET 2,5MG CX 20 COMP</t>
        </is>
      </c>
      <c r="F91" s="3" t="n">
        <v>1</v>
      </c>
      <c r="G91" s="3" t="n">
        <v>4</v>
      </c>
      <c r="H91" s="3" t="n">
        <v>4</v>
      </c>
      <c r="I91" s="4" t="n">
        <v>31.4678</v>
      </c>
      <c r="J91" s="4">
        <f>G91*I91</f>
        <v/>
      </c>
      <c r="K91" s="4" t="n">
        <v>31.4678</v>
      </c>
      <c r="L91" s="4" t="n">
        <v>31.91</v>
      </c>
      <c r="M91" s="4" t="n">
        <v>27.316</v>
      </c>
      <c r="N91" s="5">
        <f>K91/L91-1</f>
        <v/>
      </c>
      <c r="O91" s="6" t="inlineStr">
        <is>
          <t>OK (≤ últ. compra)</t>
        </is>
      </c>
      <c r="P91" s="2" t="inlineStr"/>
    </row>
    <row r="92">
      <c r="A92" s="2" t="inlineStr"/>
      <c r="B92" s="2" t="n">
        <v>624141</v>
      </c>
      <c r="C92" s="2" t="inlineStr">
        <is>
          <t>7506339305142</t>
        </is>
      </c>
      <c r="D92" s="2" t="inlineStr"/>
      <c r="E92" s="2" t="inlineStr">
        <is>
          <t>TESTE GRAV CLEARBLUE PLUS 2UNI-DEMAIS PROD</t>
        </is>
      </c>
      <c r="F92" s="3" t="n">
        <v>1</v>
      </c>
      <c r="G92" s="3" t="n">
        <v>1</v>
      </c>
      <c r="H92" s="3" t="n">
        <v>1</v>
      </c>
      <c r="I92" s="4" t="n">
        <v>24.7872</v>
      </c>
      <c r="J92" s="4">
        <f>G92*I92</f>
        <v/>
      </c>
      <c r="K92" s="4" t="n">
        <v>24.7872</v>
      </c>
      <c r="L92" s="4" t="n">
        <v>24.7675</v>
      </c>
      <c r="M92" s="4" t="n">
        <v>23.11</v>
      </c>
      <c r="N92" s="5">
        <f>K92/L92-1</f>
        <v/>
      </c>
      <c r="O92" s="7" t="inlineStr">
        <is>
          <t>ACIMA +0.1% (vs últ. compra)</t>
        </is>
      </c>
      <c r="P92" s="2" t="inlineStr"/>
    </row>
    <row r="93">
      <c r="A93" s="2" t="inlineStr"/>
      <c r="B93" s="2" t="n">
        <v>558541</v>
      </c>
      <c r="C93" s="2" t="inlineStr">
        <is>
          <t>7891317015985</t>
        </is>
      </c>
      <c r="D93" s="2" t="inlineStr"/>
      <c r="E93" s="2" t="inlineStr">
        <is>
          <t>TORANTE 15MG/ML XPE FR 100ML+COP</t>
        </is>
      </c>
      <c r="F93" s="3" t="n">
        <v>1</v>
      </c>
      <c r="G93" s="3" t="n">
        <v>2</v>
      </c>
      <c r="H93" s="3" t="n">
        <v>2</v>
      </c>
      <c r="I93" s="4" t="n">
        <v>50.1792</v>
      </c>
      <c r="J93" s="4">
        <f>G93*I93</f>
        <v/>
      </c>
      <c r="K93" s="4" t="n">
        <v>50.1792</v>
      </c>
      <c r="L93" s="4" t="n">
        <v>50.52</v>
      </c>
      <c r="M93" s="4" t="n">
        <v>44.8</v>
      </c>
      <c r="N93" s="5">
        <f>K93/L93-1</f>
        <v/>
      </c>
      <c r="O93" s="6" t="inlineStr">
        <is>
          <t>OK (≤ últ. compra)</t>
        </is>
      </c>
      <c r="P93" s="2" t="inlineStr"/>
    </row>
    <row r="94">
      <c r="A94" s="2" t="inlineStr"/>
      <c r="B94" s="2" t="n">
        <v>413241</v>
      </c>
      <c r="C94" s="2" t="inlineStr">
        <is>
          <t>7898948648148</t>
        </is>
      </c>
      <c r="D94" s="2" t="inlineStr"/>
      <c r="E94" s="2" t="inlineStr">
        <is>
          <t>UTROGESTAN 200MG CX 14 CAP</t>
        </is>
      </c>
      <c r="F94" s="3" t="n">
        <v>1</v>
      </c>
      <c r="G94" s="3" t="n">
        <v>2</v>
      </c>
      <c r="H94" s="3" t="n">
        <v>2</v>
      </c>
      <c r="I94" s="4" t="n">
        <v>58.95</v>
      </c>
      <c r="J94" s="4">
        <f>G94*I94</f>
        <v/>
      </c>
      <c r="K94" s="4" t="n">
        <v>58.95</v>
      </c>
      <c r="L94" s="4" t="n">
        <v>60.36</v>
      </c>
      <c r="M94" s="4" t="n">
        <v>53.0533</v>
      </c>
      <c r="N94" s="5">
        <f>K94/L94-1</f>
        <v/>
      </c>
      <c r="O94" s="6" t="inlineStr">
        <is>
          <t>OK (≤ últ. compra)</t>
        </is>
      </c>
      <c r="P94" s="2" t="inlineStr"/>
    </row>
    <row r="95">
      <c r="A95" s="2" t="inlineStr"/>
      <c r="B95" s="2" t="n">
        <v>654331</v>
      </c>
      <c r="C95" s="2" t="inlineStr">
        <is>
          <t>7891653014260</t>
        </is>
      </c>
      <c r="D95" s="2" t="inlineStr"/>
      <c r="E95" s="2" t="inlineStr">
        <is>
          <t>VAGISIL DEO INTIMO JASMIN BRANCO 75ML</t>
        </is>
      </c>
      <c r="F95" s="3" t="n">
        <v>1</v>
      </c>
      <c r="G95" s="3" t="n">
        <v>1</v>
      </c>
      <c r="H95" s="3" t="n">
        <v>1</v>
      </c>
      <c r="I95" s="4" t="n">
        <v>23.9661</v>
      </c>
      <c r="J95" s="4">
        <f>G95*I95</f>
        <v/>
      </c>
      <c r="K95" s="4" t="n">
        <v>23.9661</v>
      </c>
      <c r="L95" s="4" t="n">
        <v>24.47</v>
      </c>
      <c r="M95" s="4" t="n">
        <v>24.47</v>
      </c>
      <c r="N95" s="5">
        <f>K95/L95-1</f>
        <v/>
      </c>
      <c r="O95" s="6" t="inlineStr">
        <is>
          <t>OK (≤ menor hist.)</t>
        </is>
      </c>
      <c r="P95" s="2" t="inlineStr"/>
    </row>
    <row r="96">
      <c r="A96" s="2" t="inlineStr"/>
      <c r="B96" s="2" t="n">
        <v>662301</v>
      </c>
      <c r="C96" s="2" t="inlineStr">
        <is>
          <t>7891653014031</t>
        </is>
      </c>
      <c r="D96" s="2" t="inlineStr"/>
      <c r="E96" s="2" t="inlineStr">
        <is>
          <t>VAGISIL DEO INTIMO ODOR BLOCK 60ML</t>
        </is>
      </c>
      <c r="F96" s="3" t="n">
        <v>1</v>
      </c>
      <c r="G96" s="3" t="n">
        <v>1</v>
      </c>
      <c r="H96" s="3" t="n">
        <v>1</v>
      </c>
      <c r="I96" s="4" t="n">
        <v>20.8599</v>
      </c>
      <c r="J96" s="4">
        <f>G96*I96</f>
        <v/>
      </c>
      <c r="K96" s="4" t="n">
        <v>20.8599</v>
      </c>
      <c r="L96" s="4" t="n">
        <v>22.43</v>
      </c>
      <c r="M96" s="4" t="n">
        <v>22.42</v>
      </c>
      <c r="N96" s="5">
        <f>K96/L96-1</f>
        <v/>
      </c>
      <c r="O96" s="6" t="inlineStr">
        <is>
          <t>OK (≤ menor hist.)</t>
        </is>
      </c>
      <c r="P96" s="2" t="inlineStr"/>
    </row>
    <row r="97">
      <c r="A97" s="2" t="inlineStr"/>
      <c r="B97" s="2" t="n">
        <v>621491</v>
      </c>
      <c r="C97" s="2" t="inlineStr">
        <is>
          <t>7896004789545</t>
        </is>
      </c>
      <c r="D97" s="2" t="inlineStr"/>
      <c r="E97" s="2" t="inlineStr">
        <is>
          <t>VENCIDO - LEFOR 2,5MG CX 30 COMP</t>
        </is>
      </c>
      <c r="F97" s="3" t="n">
        <v>1</v>
      </c>
      <c r="G97" s="3" t="n">
        <v>1</v>
      </c>
      <c r="H97" s="3" t="n">
        <v>1</v>
      </c>
      <c r="I97" s="4" t="n">
        <v>46.0128</v>
      </c>
      <c r="J97" s="4">
        <f>G97*I97</f>
        <v/>
      </c>
      <c r="K97" s="4" t="n">
        <v>46.0128</v>
      </c>
      <c r="L97" s="4" t="n">
        <v>42.835</v>
      </c>
      <c r="M97" s="4" t="n">
        <v>42.835</v>
      </c>
      <c r="N97" s="5">
        <f>K97/L97-1</f>
        <v/>
      </c>
      <c r="O97" s="7" t="inlineStr">
        <is>
          <t>ACIMA +7.4% (vs últ. compra)</t>
        </is>
      </c>
      <c r="P97" s="2" t="inlineStr"/>
    </row>
    <row r="98">
      <c r="A98" s="2" t="inlineStr"/>
      <c r="B98" s="2" t="n">
        <v>612541</v>
      </c>
      <c r="C98" s="2" t="inlineStr">
        <is>
          <t>7891317010379</t>
        </is>
      </c>
      <c r="D98" s="2" t="inlineStr"/>
      <c r="E98" s="2" t="inlineStr">
        <is>
          <t>VENTUS 50MCG SUS SPR NAS FR 60 ACIONAMENTOS</t>
        </is>
      </c>
      <c r="F98" s="3" t="n">
        <v>1</v>
      </c>
      <c r="G98" s="3" t="n">
        <v>2</v>
      </c>
      <c r="H98" s="3" t="n">
        <v>2</v>
      </c>
      <c r="I98" s="4" t="n">
        <v>35.0112</v>
      </c>
      <c r="J98" s="4">
        <f>G98*I98</f>
        <v/>
      </c>
      <c r="K98" s="4" t="n">
        <v>35.0112</v>
      </c>
      <c r="L98" s="4" t="n">
        <v>35.24</v>
      </c>
      <c r="M98" s="4" t="n">
        <v>31.645</v>
      </c>
      <c r="N98" s="5">
        <f>K98/L98-1</f>
        <v/>
      </c>
      <c r="O98" s="6" t="inlineStr">
        <is>
          <t>OK (≤ últ. compra)</t>
        </is>
      </c>
      <c r="P98" s="2" t="inlineStr"/>
    </row>
    <row r="99">
      <c r="A99" s="2" t="inlineStr"/>
      <c r="B99" s="2" t="n">
        <v>285761</v>
      </c>
      <c r="C99" s="2" t="inlineStr">
        <is>
          <t>7896094206403</t>
        </is>
      </c>
      <c r="D99" s="2" t="inlineStr"/>
      <c r="E99" s="2" t="inlineStr">
        <is>
          <t>VENZER HCT 8+12,5MG CX 30 COMP</t>
        </is>
      </c>
      <c r="F99" s="3" t="n">
        <v>1</v>
      </c>
      <c r="G99" s="3" t="n">
        <v>1</v>
      </c>
      <c r="H99" s="3" t="n">
        <v>1</v>
      </c>
      <c r="I99" s="4" t="n">
        <v>70.8779</v>
      </c>
      <c r="J99" s="4">
        <f>G99*I99</f>
        <v/>
      </c>
      <c r="K99" s="4" t="n">
        <v>70.8779</v>
      </c>
      <c r="L99" s="4" t="n">
        <v>73.66</v>
      </c>
      <c r="M99" s="4" t="n">
        <v>68.315</v>
      </c>
      <c r="N99" s="5">
        <f>K99/L99-1</f>
        <v/>
      </c>
      <c r="O99" s="6" t="inlineStr">
        <is>
          <t>OK (≤ últ. compra)</t>
        </is>
      </c>
      <c r="P99" s="2" t="inlineStr"/>
    </row>
    <row r="100">
      <c r="A100" s="2" t="inlineStr"/>
      <c r="B100" s="2" t="n">
        <v>65081</v>
      </c>
      <c r="C100" s="2" t="inlineStr">
        <is>
          <t>7500435144384</t>
        </is>
      </c>
      <c r="D100" s="2" t="inlineStr"/>
      <c r="E100" s="2" t="inlineStr">
        <is>
          <t>XAROPE 44 E 1,30+13,30MG/ML XPE FR 240ML</t>
        </is>
      </c>
      <c r="F100" s="3" t="n">
        <v>1</v>
      </c>
      <c r="G100" s="3" t="n">
        <v>1</v>
      </c>
      <c r="H100" s="3" t="n">
        <v>1</v>
      </c>
      <c r="I100" s="4" t="n">
        <v>53.9968</v>
      </c>
      <c r="J100" s="4">
        <f>G100*I100</f>
        <v/>
      </c>
      <c r="K100" s="4" t="n">
        <v>53.9968</v>
      </c>
      <c r="L100" s="4" t="n">
        <v>51.6533333333333</v>
      </c>
      <c r="M100" s="4" t="n">
        <v>45.41</v>
      </c>
      <c r="N100" s="5">
        <f>K100/L100-1</f>
        <v/>
      </c>
      <c r="O100" s="7" t="inlineStr">
        <is>
          <t>ACIMA +4.5% (vs últ. compra)</t>
        </is>
      </c>
      <c r="P100" s="2" t="inlineStr"/>
    </row>
    <row r="101">
      <c r="A101" s="2" t="inlineStr"/>
      <c r="B101" s="2" t="n">
        <v>429501</v>
      </c>
      <c r="C101" s="2" t="inlineStr">
        <is>
          <t>7896422504652</t>
        </is>
      </c>
      <c r="D101" s="2" t="inlineStr"/>
      <c r="E101" s="2" t="inlineStr">
        <is>
          <t>ZINPASS EZE 40+10MG CX 30 COMP REV</t>
        </is>
      </c>
      <c r="F101" s="3" t="n">
        <v>1</v>
      </c>
      <c r="G101" s="3" t="n">
        <v>1</v>
      </c>
      <c r="H101" s="3" t="n">
        <v>1</v>
      </c>
      <c r="I101" s="4" t="n">
        <v>136.224</v>
      </c>
      <c r="J101" s="4">
        <f>G101*I101</f>
        <v/>
      </c>
      <c r="K101" s="4" t="n">
        <v>136.224</v>
      </c>
      <c r="L101" s="4" t="n">
        <v>140.09</v>
      </c>
      <c r="M101" s="4" t="n">
        <v>133.3</v>
      </c>
      <c r="N101" s="5">
        <f>K101/L101-1</f>
        <v/>
      </c>
      <c r="O101" s="6" t="inlineStr">
        <is>
          <t>OK (≤ últ. compra)</t>
        </is>
      </c>
      <c r="P101" s="2" t="inlineStr"/>
    </row>
    <row r="102">
      <c r="E102" s="8" t="inlineStr">
        <is>
          <t>TOTAL</t>
        </is>
      </c>
      <c r="J102" s="9">
        <f>SUM(J2:J101)</f>
        <v/>
      </c>
    </row>
    <row r="104">
      <c r="A104" s="10" t="inlineStr">
        <is>
          <t>Preços da cotação Nazária de 04/09/2026. 'Menor hist. (un)' = menor entre melhores 3/6/12 meses; 'Últ. compra (un)' = compra atual. Status OK quando o preço unit. equivalente é ≤ menor histórico ou ≤ última compra. 'Qtd pedido' na base de faturamento do distribuidor (caixa ou unidade); 'Un. totais' = unidades da lista de compra.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2026-09-05T13:07:44Z</dcterms:created>
  <dcterms:modified xsi:type="dcterms:W3CDTF">2026-09-05T13:07:44Z</dcterms:modified>
</cp:coreProperties>
</file>