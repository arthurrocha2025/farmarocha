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42" customWidth="1" min="4" max="4"/>
    <col width="42" customWidth="1" min="5" max="5"/>
    <col width="7" customWidth="1" min="6" max="6"/>
    <col width="9" customWidth="1" min="7" max="7"/>
    <col width="9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9" customWidth="1" min="14" max="14"/>
    <col width="20" customWidth="1" min="15" max="15"/>
    <col width="26" customWidth="1" min="16" max="16"/>
  </cols>
  <sheetData>
    <row r="1" ht="28" customHeight="1">
      <c r="A1" s="1" t="inlineStr">
        <is>
          <t>Cód. distribuidor</t>
        </is>
      </c>
      <c r="B1" s="1" t="inlineStr">
        <is>
          <t>Cód. interno</t>
        </is>
      </c>
      <c r="C1" s="1" t="inlineStr">
        <is>
          <t>EAN</t>
        </is>
      </c>
      <c r="D1" s="1" t="inlineStr">
        <is>
          <t>Produto (distribuidor)</t>
        </is>
      </c>
      <c r="E1" s="1" t="inlineStr">
        <is>
          <t>Produto (controle)</t>
        </is>
      </c>
      <c r="F1" s="1" t="inlineStr">
        <is>
          <t>Un/Cx</t>
        </is>
      </c>
      <c r="G1" s="1" t="inlineStr">
        <is>
          <t>Qtd pedido</t>
        </is>
      </c>
      <c r="H1" s="1" t="inlineStr">
        <is>
          <t>Un. totais</t>
        </is>
      </c>
      <c r="I1" s="1" t="inlineStr">
        <is>
          <t>Preço cotado</t>
        </is>
      </c>
      <c r="J1" s="1" t="inlineStr">
        <is>
          <t>Total</t>
        </is>
      </c>
      <c r="K1" s="1" t="inlineStr">
        <is>
          <t>Preço un. equiv.</t>
        </is>
      </c>
      <c r="L1" s="1" t="inlineStr">
        <is>
          <t>Últ. compra (un)</t>
        </is>
      </c>
      <c r="M1" s="1" t="inlineStr">
        <is>
          <t>Menor hist. (un)</t>
        </is>
      </c>
      <c r="N1" s="1" t="inlineStr">
        <is>
          <t>Dif. %</t>
        </is>
      </c>
      <c r="O1" s="1" t="inlineStr">
        <is>
          <t>Status</t>
        </is>
      </c>
      <c r="P1" s="1" t="inlineStr">
        <is>
          <t>Obs</t>
        </is>
      </c>
    </row>
    <row r="2">
      <c r="A2" s="2" t="inlineStr">
        <is>
          <t>778489</t>
        </is>
      </c>
      <c r="B2" s="2" t="n">
        <v>13901</v>
      </c>
      <c r="C2" s="2" t="inlineStr">
        <is>
          <t>7793640000143</t>
        </is>
      </c>
      <c r="D2" s="2" t="inlineStr">
        <is>
          <t>ASPIRINA 500MG 20CPR</t>
        </is>
      </c>
      <c r="E2" s="2" t="inlineStr">
        <is>
          <t>ASPIRINA 500MG BL X 20 COMP</t>
        </is>
      </c>
      <c r="F2" s="3" t="n">
        <v>1</v>
      </c>
      <c r="G2" s="3" t="n">
        <v>4</v>
      </c>
      <c r="H2" s="3" t="n">
        <v>4</v>
      </c>
      <c r="I2" s="4" t="n">
        <v>13.5</v>
      </c>
      <c r="J2" s="4">
        <f>G2*I2</f>
        <v/>
      </c>
      <c r="K2" s="4" t="n">
        <v>13.5</v>
      </c>
      <c r="L2" s="4" t="n">
        <v>13.25</v>
      </c>
      <c r="M2" s="4" t="n">
        <v>12.36</v>
      </c>
      <c r="N2" s="5">
        <f>K2/L2-1</f>
        <v/>
      </c>
      <c r="O2" s="6" t="inlineStr">
        <is>
          <t>ACIMA +1.9% (vs últ. compra)</t>
        </is>
      </c>
      <c r="P2" s="2" t="inlineStr"/>
    </row>
    <row r="3">
      <c r="A3" s="2" t="inlineStr">
        <is>
          <t>756553</t>
        </is>
      </c>
      <c r="B3" s="2" t="n">
        <v>54421</v>
      </c>
      <c r="C3" s="2" t="inlineStr">
        <is>
          <t>7897411611023</t>
        </is>
      </c>
      <c r="D3" s="2" t="inlineStr">
        <is>
          <t>BENICAR ANLO 40MG+5MG 30CPR REV</t>
        </is>
      </c>
      <c r="E3" s="2" t="inlineStr">
        <is>
          <t>BENICAR ANLO 40+5MG CX 30 COMP REV</t>
        </is>
      </c>
      <c r="F3" s="3" t="n">
        <v>1</v>
      </c>
      <c r="G3" s="3" t="n">
        <v>3</v>
      </c>
      <c r="H3" s="3" t="n">
        <v>3</v>
      </c>
      <c r="I3" s="4" t="n">
        <v>75.5</v>
      </c>
      <c r="J3" s="4">
        <f>G3*I3</f>
        <v/>
      </c>
      <c r="K3" s="4" t="n">
        <v>75.5</v>
      </c>
      <c r="L3" s="4" t="n">
        <v>76.89</v>
      </c>
      <c r="M3" s="4" t="n">
        <v>68.45999999999999</v>
      </c>
      <c r="N3" s="5">
        <f>K3/L3-1</f>
        <v/>
      </c>
      <c r="O3" s="7" t="inlineStr">
        <is>
          <t>OK (≤ últ. compra)</t>
        </is>
      </c>
      <c r="P3" s="2" t="inlineStr"/>
    </row>
    <row r="4">
      <c r="A4" s="2" t="inlineStr">
        <is>
          <t>793962</t>
        </is>
      </c>
      <c r="B4" s="2" t="n">
        <v>588821</v>
      </c>
      <c r="C4" s="2" t="inlineStr">
        <is>
          <t>7891106912167</t>
        </is>
      </c>
      <c r="D4" s="2" t="inlineStr">
        <is>
          <t>BEPANTOL BABY 30G 15% DESC</t>
        </is>
      </c>
      <c r="E4" s="2" t="inlineStr">
        <is>
          <t>BEPANTOL BABY 30+15G</t>
        </is>
      </c>
      <c r="F4" s="3" t="n">
        <v>1</v>
      </c>
      <c r="G4" s="3" t="n">
        <v>9</v>
      </c>
      <c r="H4" s="3" t="n">
        <v>9</v>
      </c>
      <c r="I4" s="4" t="n">
        <v>12.7</v>
      </c>
      <c r="J4" s="4">
        <f>G4*I4</f>
        <v/>
      </c>
      <c r="K4" s="4" t="n">
        <v>12.7</v>
      </c>
      <c r="L4" s="4" t="n">
        <v>14.36</v>
      </c>
      <c r="M4" s="4" t="n">
        <v>12.9012</v>
      </c>
      <c r="N4" s="5">
        <f>K4/L4-1</f>
        <v/>
      </c>
      <c r="O4" s="7" t="inlineStr">
        <is>
          <t>OK (≤ menor hist.)</t>
        </is>
      </c>
      <c r="P4" s="2" t="inlineStr"/>
    </row>
    <row r="5">
      <c r="A5" s="2" t="inlineStr">
        <is>
          <t>769376</t>
        </is>
      </c>
      <c r="B5" s="2" t="n">
        <v>550701</v>
      </c>
      <c r="C5" s="2" t="inlineStr">
        <is>
          <t>7891106907286</t>
        </is>
      </c>
      <c r="D5" s="2" t="inlineStr">
        <is>
          <t>BEPANTOL DERMA CR 20G</t>
        </is>
      </c>
      <c r="E5" s="2" t="inlineStr">
        <is>
          <t>BEPANTOL DERMA CR 20GR</t>
        </is>
      </c>
      <c r="F5" s="3" t="n">
        <v>1</v>
      </c>
      <c r="G5" s="3" t="n">
        <v>6</v>
      </c>
      <c r="H5" s="3" t="n">
        <v>6</v>
      </c>
      <c r="I5" s="4" t="n">
        <v>20.8</v>
      </c>
      <c r="J5" s="4">
        <f>G5*I5</f>
        <v/>
      </c>
      <c r="K5" s="4" t="n">
        <v>20.8</v>
      </c>
      <c r="L5" s="4" t="n">
        <v>23.83</v>
      </c>
      <c r="M5" s="4" t="n">
        <v>23.4233</v>
      </c>
      <c r="N5" s="5">
        <f>K5/L5-1</f>
        <v/>
      </c>
      <c r="O5" s="7" t="inlineStr">
        <is>
          <t>OK (≤ menor hist.)</t>
        </is>
      </c>
      <c r="P5" s="2" t="inlineStr"/>
    </row>
    <row r="6">
      <c r="A6" s="2" t="inlineStr">
        <is>
          <t>794787</t>
        </is>
      </c>
      <c r="B6" s="2" t="n">
        <v>632681</v>
      </c>
      <c r="C6" s="2" t="inlineStr">
        <is>
          <t>7891106913522</t>
        </is>
      </c>
      <c r="D6" s="2" t="inlineStr">
        <is>
          <t>BEPANTOL DERMA TOQUE SECO PEL SEC/NORM CR 30G</t>
        </is>
      </c>
      <c r="E6" s="2" t="inlineStr">
        <is>
          <t>BEPANTOL DERMA TOQUE SECO CR 30G</t>
        </is>
      </c>
      <c r="F6" s="3" t="n">
        <v>1</v>
      </c>
      <c r="G6" s="3" t="n">
        <v>2</v>
      </c>
      <c r="H6" s="3" t="n">
        <v>2</v>
      </c>
      <c r="I6" s="4" t="n">
        <v>26.4</v>
      </c>
      <c r="J6" s="4">
        <f>G6*I6</f>
        <v/>
      </c>
      <c r="K6" s="4" t="n">
        <v>26.4</v>
      </c>
      <c r="L6" s="4" t="n">
        <v>30.24</v>
      </c>
      <c r="M6" s="4" t="n">
        <v>28.6</v>
      </c>
      <c r="N6" s="5">
        <f>K6/L6-1</f>
        <v/>
      </c>
      <c r="O6" s="7" t="inlineStr">
        <is>
          <t>OK (≤ menor hist.)</t>
        </is>
      </c>
      <c r="P6" s="2" t="inlineStr"/>
    </row>
    <row r="7">
      <c r="A7" s="2" t="inlineStr">
        <is>
          <t>797567</t>
        </is>
      </c>
      <c r="B7" s="2" t="n">
        <v>646991</v>
      </c>
      <c r="C7" s="2" t="inlineStr">
        <is>
          <t>7500435185011</t>
        </is>
      </c>
      <c r="D7" s="2" t="inlineStr">
        <is>
          <t>FEMIBION 1 28CPR</t>
        </is>
      </c>
      <c r="E7" s="2" t="inlineStr">
        <is>
          <t>FEMIBION 1 C/28 COMP-DEMAIS PROD</t>
        </is>
      </c>
      <c r="F7" s="3" t="n">
        <v>1</v>
      </c>
      <c r="G7" s="3" t="n">
        <v>1</v>
      </c>
      <c r="H7" s="3" t="n">
        <v>1</v>
      </c>
      <c r="I7" s="4" t="n">
        <v>92.5</v>
      </c>
      <c r="J7" s="4">
        <f>G7*I7</f>
        <v/>
      </c>
      <c r="K7" s="4" t="n">
        <v>92.5</v>
      </c>
      <c r="L7" s="4" t="n">
        <v>69.4516666666667</v>
      </c>
      <c r="M7" s="4" t="n">
        <v>69.4516666666667</v>
      </c>
      <c r="N7" s="5">
        <f>K7/L7-1</f>
        <v/>
      </c>
      <c r="O7" s="6" t="inlineStr">
        <is>
          <t>ACIMA +33.2% (vs últ. compra)</t>
        </is>
      </c>
      <c r="P7" s="2" t="inlineStr"/>
    </row>
    <row r="8">
      <c r="A8" s="2" t="inlineStr">
        <is>
          <t>41912</t>
        </is>
      </c>
      <c r="B8" s="2" t="n">
        <v>355241</v>
      </c>
      <c r="C8" s="2" t="inlineStr">
        <is>
          <t>7891106006507</t>
        </is>
      </c>
      <c r="D8" s="2" t="inlineStr">
        <is>
          <t>FLANAX 550MG 10CPR</t>
        </is>
      </c>
      <c r="E8" s="2" t="inlineStr">
        <is>
          <t>FLANAX 550MG CX 10 COMP REV</t>
        </is>
      </c>
      <c r="F8" s="3" t="n">
        <v>1</v>
      </c>
      <c r="G8" s="3" t="n">
        <v>3</v>
      </c>
      <c r="H8" s="3" t="n">
        <v>3</v>
      </c>
      <c r="I8" s="4" t="n">
        <v>18.4</v>
      </c>
      <c r="J8" s="4">
        <f>G8*I8</f>
        <v/>
      </c>
      <c r="K8" s="4" t="n">
        <v>18.4</v>
      </c>
      <c r="L8" s="4" t="n">
        <v>20.57</v>
      </c>
      <c r="M8" s="4" t="n">
        <v>14.66</v>
      </c>
      <c r="N8" s="5">
        <f>K8/L8-1</f>
        <v/>
      </c>
      <c r="O8" s="7" t="inlineStr">
        <is>
          <t>OK (≤ últ. compra)</t>
        </is>
      </c>
      <c r="P8" s="2" t="inlineStr"/>
    </row>
    <row r="9">
      <c r="A9" s="2" t="inlineStr">
        <is>
          <t>680516</t>
        </is>
      </c>
      <c r="B9" s="2" t="n">
        <v>189141</v>
      </c>
      <c r="C9" s="2" t="inlineStr">
        <is>
          <t>7891106003230</t>
        </is>
      </c>
      <c r="D9" s="2" t="inlineStr">
        <is>
          <t>GINO CANESTEN CR VAG 20MG 20G+3APLIC</t>
        </is>
      </c>
      <c r="E9" s="2" t="inlineStr">
        <is>
          <t>GINO CANESTEN 20 MG/G CREME VAG BG 20G+3APLIC</t>
        </is>
      </c>
      <c r="F9" s="3" t="n">
        <v>1</v>
      </c>
      <c r="G9" s="3" t="n">
        <v>1</v>
      </c>
      <c r="H9" s="3" t="n">
        <v>1</v>
      </c>
      <c r="I9" s="4" t="n">
        <v>73.2</v>
      </c>
      <c r="J9" s="4">
        <f>G9*I9</f>
        <v/>
      </c>
      <c r="K9" s="4" t="n">
        <v>73.2</v>
      </c>
      <c r="L9" s="4" t="n">
        <v>70.93000000000001</v>
      </c>
      <c r="M9" s="4" t="n">
        <v>65.23</v>
      </c>
      <c r="N9" s="5">
        <f>K9/L9-1</f>
        <v/>
      </c>
      <c r="O9" s="6" t="inlineStr">
        <is>
          <t>ACIMA +3.2% (vs últ. compra)</t>
        </is>
      </c>
      <c r="P9" s="2" t="inlineStr"/>
    </row>
    <row r="10">
      <c r="A10" s="2" t="inlineStr">
        <is>
          <t>802014</t>
        </is>
      </c>
      <c r="B10" s="2" t="n">
        <v>672581</v>
      </c>
      <c r="C10" s="2" t="inlineStr">
        <is>
          <t>7891106916561</t>
        </is>
      </c>
      <c r="D10" s="2" t="inlineStr">
        <is>
          <t>GINO CANESTEN SAB INT PURO CUIDADO 200ML</t>
        </is>
      </c>
      <c r="E10" s="2" t="inlineStr">
        <is>
          <t>GINO CANESTEN PURO CUIDADO 200ML-DEMAIS PROD</t>
        </is>
      </c>
      <c r="F10" s="3" t="n">
        <v>1</v>
      </c>
      <c r="G10" s="3" t="n">
        <v>8</v>
      </c>
      <c r="H10" s="3" t="n">
        <v>8</v>
      </c>
      <c r="I10" s="4" t="n">
        <v>18.3</v>
      </c>
      <c r="J10" s="4">
        <f>G10*I10</f>
        <v/>
      </c>
      <c r="K10" s="4" t="n">
        <v>18.3</v>
      </c>
      <c r="L10" s="4" t="n">
        <v>18.34</v>
      </c>
      <c r="M10" s="4" t="n">
        <v>18.34</v>
      </c>
      <c r="N10" s="5">
        <f>K10/L10-1</f>
        <v/>
      </c>
      <c r="O10" s="7" t="inlineStr">
        <is>
          <t>OK (≤ menor hist.)</t>
        </is>
      </c>
      <c r="P10" s="2" t="inlineStr"/>
    </row>
    <row r="11">
      <c r="A11" s="2" t="inlineStr">
        <is>
          <t>784508</t>
        </is>
      </c>
      <c r="B11" s="2" t="n">
        <v>626321</v>
      </c>
      <c r="C11" s="2" t="inlineStr">
        <is>
          <t>7898040325008</t>
        </is>
      </c>
      <c r="D11" s="2" t="inlineStr">
        <is>
          <t>HIDRAFEMME GEL VAG 24G+8APLIC</t>
        </is>
      </c>
      <c r="E11" s="2" t="inlineStr">
        <is>
          <t>HIDRAFEMME GEL 24G C/ 8 APLIC</t>
        </is>
      </c>
      <c r="F11" s="3" t="n">
        <v>1</v>
      </c>
      <c r="G11" s="3" t="n">
        <v>2</v>
      </c>
      <c r="H11" s="3" t="n">
        <v>2</v>
      </c>
      <c r="I11" s="4" t="n">
        <v>69.8</v>
      </c>
      <c r="J11" s="4">
        <f>G11*I11</f>
        <v/>
      </c>
      <c r="K11" s="4" t="n">
        <v>69.8</v>
      </c>
      <c r="L11" s="4" t="n">
        <v>69.84</v>
      </c>
      <c r="M11" s="4" t="n">
        <v>57.646</v>
      </c>
      <c r="N11" s="5">
        <f>K11/L11-1</f>
        <v/>
      </c>
      <c r="O11" s="7" t="inlineStr">
        <is>
          <t>OK (≤ últ. compra)</t>
        </is>
      </c>
      <c r="P11" s="2" t="inlineStr"/>
    </row>
    <row r="12">
      <c r="A12" s="2" t="inlineStr">
        <is>
          <t>704598</t>
        </is>
      </c>
      <c r="B12" s="2" t="n">
        <v>128941</v>
      </c>
      <c r="C12" s="2" t="inlineStr">
        <is>
          <t>7896637028417</t>
        </is>
      </c>
      <c r="D12" s="2" t="inlineStr">
        <is>
          <t>LABIRIN 8MG 30CPR</t>
        </is>
      </c>
      <c r="E12" s="2" t="inlineStr">
        <is>
          <t>LABIRIN 8MG CX 30 COMP</t>
        </is>
      </c>
      <c r="F12" s="3" t="n">
        <v>1</v>
      </c>
      <c r="G12" s="3" t="n">
        <v>3</v>
      </c>
      <c r="H12" s="3" t="n">
        <v>3</v>
      </c>
      <c r="I12" s="4" t="n">
        <v>29.5</v>
      </c>
      <c r="J12" s="4">
        <f>G12*I12</f>
        <v/>
      </c>
      <c r="K12" s="4" t="n">
        <v>29.5</v>
      </c>
      <c r="L12" s="4" t="n">
        <v>29.194</v>
      </c>
      <c r="M12" s="4" t="n">
        <v>29.194</v>
      </c>
      <c r="N12" s="5">
        <f>K12/L12-1</f>
        <v/>
      </c>
      <c r="O12" s="6" t="inlineStr">
        <is>
          <t>ACIMA +1.0% (vs últ. compra)</t>
        </is>
      </c>
      <c r="P12" s="2" t="inlineStr"/>
    </row>
    <row r="13">
      <c r="A13" s="2" t="inlineStr">
        <is>
          <t>801200</t>
        </is>
      </c>
      <c r="B13" s="2" t="n">
        <v>662291</v>
      </c>
      <c r="C13" s="2" t="inlineStr">
        <is>
          <t>7896637034852</t>
        </is>
      </c>
      <c r="D13" s="2" t="inlineStr">
        <is>
          <t>LABIRIN XR 48MG 30CPR REV LIB PROL</t>
        </is>
      </c>
      <c r="E13" s="2" t="inlineStr">
        <is>
          <t>LABIRIN XR 48MG 30CPR</t>
        </is>
      </c>
      <c r="F13" s="3" t="n">
        <v>1</v>
      </c>
      <c r="G13" s="3" t="n">
        <v>1</v>
      </c>
      <c r="H13" s="3" t="n">
        <v>1</v>
      </c>
      <c r="I13" s="4" t="n">
        <v>64.7</v>
      </c>
      <c r="J13" s="4">
        <f>G13*I13</f>
        <v/>
      </c>
      <c r="K13" s="4" t="n">
        <v>64.7</v>
      </c>
      <c r="L13" s="4" t="n">
        <v>61.68</v>
      </c>
      <c r="M13" s="4" t="n">
        <v>61.67</v>
      </c>
      <c r="N13" s="5">
        <f>K13/L13-1</f>
        <v/>
      </c>
      <c r="O13" s="6" t="inlineStr">
        <is>
          <t>ACIMA +4.9% (vs últ. compra)</t>
        </is>
      </c>
      <c r="P13" s="2" t="inlineStr"/>
    </row>
    <row r="14">
      <c r="A14" s="2" t="inlineStr">
        <is>
          <t>696919</t>
        </is>
      </c>
      <c r="B14" s="2" t="n">
        <v>225321</v>
      </c>
      <c r="C14" s="2" t="inlineStr">
        <is>
          <t>7896004760995</t>
        </is>
      </c>
      <c r="D14" s="2" t="inlineStr">
        <is>
          <t>MIGRALIV 12CPR</t>
        </is>
      </c>
      <c r="E14" s="2" t="inlineStr">
        <is>
          <t>MIGRALIV CX 12 COMP</t>
        </is>
      </c>
      <c r="F14" s="3" t="n">
        <v>1</v>
      </c>
      <c r="G14" s="3" t="n">
        <v>1</v>
      </c>
      <c r="H14" s="3" t="n">
        <v>1</v>
      </c>
      <c r="I14" s="4" t="n">
        <v>9.800000000000001</v>
      </c>
      <c r="J14" s="4">
        <f>G14*I14</f>
        <v/>
      </c>
      <c r="K14" s="4" t="n">
        <v>9.800000000000001</v>
      </c>
      <c r="L14" s="4" t="n">
        <v>12.36</v>
      </c>
      <c r="M14" s="4" t="n">
        <v>12.36</v>
      </c>
      <c r="N14" s="5">
        <f>K14/L14-1</f>
        <v/>
      </c>
      <c r="O14" s="7" t="inlineStr">
        <is>
          <t>OK (≤ menor hist.)</t>
        </is>
      </c>
      <c r="P14" s="2" t="inlineStr"/>
    </row>
    <row r="15">
      <c r="A15" s="2" t="inlineStr">
        <is>
          <t>721613</t>
        </is>
      </c>
      <c r="B15" s="2" t="n">
        <v>351361</v>
      </c>
      <c r="C15" s="2" t="inlineStr">
        <is>
          <t>7897851250585</t>
        </is>
      </c>
      <c r="D15" s="2" t="inlineStr">
        <is>
          <t>MONOCORDIL 40MG 30CPR</t>
        </is>
      </c>
      <c r="E15" s="2" t="inlineStr">
        <is>
          <t>MONOCORDIL 40MG CX 30 COMP</t>
        </is>
      </c>
      <c r="F15" s="3" t="n">
        <v>1</v>
      </c>
      <c r="G15" s="3" t="n">
        <v>1</v>
      </c>
      <c r="H15" s="3" t="n">
        <v>1</v>
      </c>
      <c r="I15" s="4" t="n">
        <v>29.7</v>
      </c>
      <c r="J15" s="4">
        <f>G15*I15</f>
        <v/>
      </c>
      <c r="K15" s="4" t="n">
        <v>29.7</v>
      </c>
      <c r="L15" s="4" t="n">
        <v>25.57</v>
      </c>
      <c r="M15" s="4" t="n">
        <v>25.57</v>
      </c>
      <c r="N15" s="5">
        <f>K15/L15-1</f>
        <v/>
      </c>
      <c r="O15" s="6" t="inlineStr">
        <is>
          <t>ACIMA +16.2% (vs últ. compra)</t>
        </is>
      </c>
      <c r="P15" s="2" t="inlineStr"/>
    </row>
    <row r="16">
      <c r="A16" s="2" t="inlineStr">
        <is>
          <t>799018</t>
        </is>
      </c>
      <c r="B16" s="2" t="n">
        <v>606961</v>
      </c>
      <c r="C16" s="2" t="inlineStr">
        <is>
          <t>7894916516679</t>
        </is>
      </c>
      <c r="D16" s="2" t="inlineStr"/>
      <c r="E16" s="2" t="inlineStr">
        <is>
          <t>NEUTROFER FOLATO D 30CPR REV</t>
        </is>
      </c>
      <c r="F16" s="3" t="n">
        <v>1</v>
      </c>
      <c r="G16" s="3" t="n">
        <v>1</v>
      </c>
      <c r="H16" s="3" t="n">
        <v>1</v>
      </c>
      <c r="I16" s="4" t="n">
        <v>84.8</v>
      </c>
      <c r="J16" s="4">
        <f>G16*I16</f>
        <v/>
      </c>
      <c r="K16" s="4" t="n">
        <v>84.8</v>
      </c>
      <c r="L16" s="4" t="n">
        <v>87.68000000000001</v>
      </c>
      <c r="M16" s="4" t="n">
        <v>71.28</v>
      </c>
      <c r="N16" s="5">
        <f>K16/L16-1</f>
        <v/>
      </c>
      <c r="O16" s="7" t="inlineStr">
        <is>
          <t>OK (≤ últ. compra)</t>
        </is>
      </c>
      <c r="P16" s="2" t="inlineStr"/>
    </row>
    <row r="17">
      <c r="A17" s="2" t="inlineStr">
        <is>
          <t>796768</t>
        </is>
      </c>
      <c r="B17" s="2" t="n">
        <v>290201</v>
      </c>
      <c r="C17" s="2" t="inlineStr">
        <is>
          <t>7894916510431</t>
        </is>
      </c>
      <c r="D17" s="2" t="inlineStr">
        <is>
          <t>OLMY HCT 40+25MG 30CPR REV (GERMED)</t>
        </is>
      </c>
      <c r="E17" s="2" t="inlineStr">
        <is>
          <t>OLMY HCT 40+25MG CX 10 COMP REV</t>
        </is>
      </c>
      <c r="F17" s="3" t="n">
        <v>1</v>
      </c>
      <c r="G17" s="3" t="n">
        <v>1</v>
      </c>
      <c r="H17" s="3" t="n">
        <v>1</v>
      </c>
      <c r="I17" s="4" t="n">
        <v>47.4</v>
      </c>
      <c r="J17" s="4">
        <f>G17*I17</f>
        <v/>
      </c>
      <c r="K17" s="4" t="n">
        <v>47.4</v>
      </c>
      <c r="L17" s="4" t="n">
        <v>43.2</v>
      </c>
      <c r="M17" s="4" t="n">
        <v>43.2</v>
      </c>
      <c r="N17" s="5">
        <f>K17/L17-1</f>
        <v/>
      </c>
      <c r="O17" s="6" t="inlineStr">
        <is>
          <t>ACIMA +9.7% (vs últ. compra)</t>
        </is>
      </c>
      <c r="P17" s="2" t="inlineStr"/>
    </row>
    <row r="18">
      <c r="A18" s="2" t="inlineStr">
        <is>
          <t>53694</t>
        </is>
      </c>
      <c r="B18" s="2" t="n">
        <v>405861</v>
      </c>
      <c r="C18" s="2" t="inlineStr">
        <is>
          <t>7896641801792</t>
        </is>
      </c>
      <c r="D18" s="2" t="inlineStr">
        <is>
          <t>PROCTYL POM 30G APLIC</t>
        </is>
      </c>
      <c r="E18" s="2" t="inlineStr">
        <is>
          <t>PROCTYL POM BG 30G</t>
        </is>
      </c>
      <c r="F18" s="3" t="n">
        <v>1</v>
      </c>
      <c r="G18" s="3" t="n">
        <v>2</v>
      </c>
      <c r="H18" s="3" t="n">
        <v>2</v>
      </c>
      <c r="I18" s="4" t="n">
        <v>80.90000000000001</v>
      </c>
      <c r="J18" s="4">
        <f>G18*I18</f>
        <v/>
      </c>
      <c r="K18" s="4" t="n">
        <v>80.90000000000001</v>
      </c>
      <c r="L18" s="4" t="n">
        <v>84.06999999999999</v>
      </c>
      <c r="M18" s="4" t="n">
        <v>65.70999999999999</v>
      </c>
      <c r="N18" s="5">
        <f>K18/L18-1</f>
        <v/>
      </c>
      <c r="O18" s="7" t="inlineStr">
        <is>
          <t>OK (≤ últ. compra)</t>
        </is>
      </c>
      <c r="P18" s="2" t="inlineStr"/>
    </row>
    <row r="19">
      <c r="A19" s="2" t="inlineStr">
        <is>
          <t>691208</t>
        </is>
      </c>
      <c r="B19" s="2" t="n">
        <v>500281</v>
      </c>
      <c r="C19" s="2" t="inlineStr">
        <is>
          <t>7897595901446</t>
        </is>
      </c>
      <c r="D19" s="2" t="inlineStr">
        <is>
          <t>PURAN T4 125MCG 30CPR</t>
        </is>
      </c>
      <c r="E19" s="2" t="inlineStr">
        <is>
          <t>PURAN T4 125MCG CX 30 COMP</t>
        </is>
      </c>
      <c r="F19" s="3" t="n">
        <v>1</v>
      </c>
      <c r="G19" s="3" t="n">
        <v>5</v>
      </c>
      <c r="H19" s="3" t="n">
        <v>5</v>
      </c>
      <c r="I19" s="4" t="n">
        <v>18.5</v>
      </c>
      <c r="J19" s="4">
        <f>G19*I19</f>
        <v/>
      </c>
      <c r="K19" s="4" t="n">
        <v>18.5</v>
      </c>
      <c r="L19" s="4" t="n">
        <v>19.265</v>
      </c>
      <c r="M19" s="4" t="n">
        <v>15.31</v>
      </c>
      <c r="N19" s="5">
        <f>K19/L19-1</f>
        <v/>
      </c>
      <c r="O19" s="7" t="inlineStr">
        <is>
          <t>OK (≤ últ. compra)</t>
        </is>
      </c>
      <c r="P19" s="2" t="inlineStr"/>
    </row>
    <row r="20">
      <c r="A20" s="2" t="inlineStr">
        <is>
          <t>785135</t>
        </is>
      </c>
      <c r="B20" s="2" t="n">
        <v>204261</v>
      </c>
      <c r="C20" s="2" t="inlineStr">
        <is>
          <t>7897337713382</t>
        </is>
      </c>
      <c r="D20" s="2" t="inlineStr">
        <is>
          <t>PEROLA 75MG 28CPR</t>
        </is>
      </c>
      <c r="E20" s="2" t="inlineStr">
        <is>
          <t>PV - PEROLA 0,075MG CX 28 COMP REV</t>
        </is>
      </c>
      <c r="F20" s="3" t="n">
        <v>1</v>
      </c>
      <c r="G20" s="3" t="n">
        <v>1</v>
      </c>
      <c r="H20" s="3" t="n">
        <v>1</v>
      </c>
      <c r="I20" s="4" t="n">
        <v>36.8</v>
      </c>
      <c r="J20" s="4">
        <f>G20*I20</f>
        <v/>
      </c>
      <c r="K20" s="4" t="n">
        <v>36.8</v>
      </c>
      <c r="L20" s="4" t="n">
        <v>32.905</v>
      </c>
      <c r="M20" s="4" t="n">
        <v>32.905</v>
      </c>
      <c r="N20" s="5">
        <f>K20/L20-1</f>
        <v/>
      </c>
      <c r="O20" s="6" t="inlineStr">
        <is>
          <t>ACIMA +11.8% (vs últ. compra)</t>
        </is>
      </c>
      <c r="P20" s="2" t="inlineStr"/>
    </row>
    <row r="21">
      <c r="A21" s="2" t="inlineStr">
        <is>
          <t>796541</t>
        </is>
      </c>
      <c r="B21" s="2" t="n">
        <v>262941</v>
      </c>
      <c r="C21" s="2" t="inlineStr">
        <is>
          <t>7896658036996</t>
        </is>
      </c>
      <c r="D21" s="2" t="inlineStr">
        <is>
          <t>ALLESTRA 20 20+75MCG 63CPR</t>
        </is>
      </c>
      <c r="E21" s="2" t="inlineStr">
        <is>
          <t>PV ALLESTRA 20/75MCG (CAIXA C/ 3 CARTELAS)</t>
        </is>
      </c>
      <c r="F21" s="3" t="n">
        <v>1</v>
      </c>
      <c r="G21" s="3" t="n">
        <v>1</v>
      </c>
      <c r="H21" s="3" t="n">
        <v>1</v>
      </c>
      <c r="I21" s="4" t="n">
        <v>69.5</v>
      </c>
      <c r="J21" s="4">
        <f>G21*I21</f>
        <v/>
      </c>
      <c r="K21" s="4" t="n">
        <v>69.5</v>
      </c>
      <c r="L21" s="4" t="n">
        <v>22.18</v>
      </c>
      <c r="M21" s="4" t="n">
        <v>22.18</v>
      </c>
      <c r="N21" s="5">
        <f>K21/L21-1</f>
        <v/>
      </c>
      <c r="O21" s="6" t="inlineStr">
        <is>
          <t>ACIMA +213.3% (vs últ. compra)</t>
        </is>
      </c>
      <c r="P21" s="2" t="inlineStr"/>
    </row>
    <row r="22">
      <c r="A22" s="2" t="inlineStr">
        <is>
          <t>11398</t>
        </is>
      </c>
      <c r="B22" s="2" t="n">
        <v>431061</v>
      </c>
      <c r="C22" s="2" t="inlineStr">
        <is>
          <t>7898560661563</t>
        </is>
      </c>
      <c r="D22" s="2" t="inlineStr">
        <is>
          <t>REPARIL GEL 30G</t>
        </is>
      </c>
      <c r="E22" s="2" t="inlineStr">
        <is>
          <t>REPARIL 10+50MG/G GEL BG 30G</t>
        </is>
      </c>
      <c r="F22" s="3" t="n">
        <v>1</v>
      </c>
      <c r="G22" s="3" t="n">
        <v>3</v>
      </c>
      <c r="H22" s="3" t="n">
        <v>3</v>
      </c>
      <c r="I22" s="4" t="n">
        <v>32.3</v>
      </c>
      <c r="J22" s="4">
        <f>G22*I22</f>
        <v/>
      </c>
      <c r="K22" s="4" t="n">
        <v>32.3</v>
      </c>
      <c r="L22" s="4" t="n">
        <v>32.3</v>
      </c>
      <c r="M22" s="4" t="n">
        <v>27.27</v>
      </c>
      <c r="N22" s="5">
        <f>K22/L22-1</f>
        <v/>
      </c>
      <c r="O22" s="7" t="inlineStr">
        <is>
          <t>OK (≤ últ. compra)</t>
        </is>
      </c>
      <c r="P22" s="2" t="inlineStr"/>
    </row>
    <row r="23">
      <c r="A23" s="2" t="inlineStr">
        <is>
          <t>761671</t>
        </is>
      </c>
      <c r="B23" s="2" t="n">
        <v>444281</v>
      </c>
      <c r="C23" s="2" t="inlineStr">
        <is>
          <t>7896206402853</t>
        </is>
      </c>
      <c r="D23" s="2" t="inlineStr">
        <is>
          <t>SELOZOK 25MG 30CPR</t>
        </is>
      </c>
      <c r="E23" s="2" t="inlineStr">
        <is>
          <t>SELOZOK 25MG CX 30 COMP</t>
        </is>
      </c>
      <c r="F23" s="3" t="n">
        <v>1</v>
      </c>
      <c r="G23" s="3" t="n">
        <v>1</v>
      </c>
      <c r="H23" s="3" t="n">
        <v>1</v>
      </c>
      <c r="I23" s="4" t="n">
        <v>30</v>
      </c>
      <c r="J23" s="4">
        <f>G23*I23</f>
        <v/>
      </c>
      <c r="K23" s="4" t="n">
        <v>30</v>
      </c>
      <c r="L23" s="4" t="n">
        <v>31.175</v>
      </c>
      <c r="M23" s="4" t="n">
        <v>28.245</v>
      </c>
      <c r="N23" s="5">
        <f>K23/L23-1</f>
        <v/>
      </c>
      <c r="O23" s="7" t="inlineStr">
        <is>
          <t>OK (≤ últ. compra)</t>
        </is>
      </c>
      <c r="P23" s="2" t="inlineStr"/>
    </row>
    <row r="24">
      <c r="A24" s="2" t="inlineStr">
        <is>
          <t>796508</t>
        </is>
      </c>
      <c r="B24" s="2" t="n">
        <v>433961</v>
      </c>
      <c r="C24" s="2" t="inlineStr">
        <is>
          <t>7897460401750</t>
        </is>
      </c>
      <c r="D24" s="2" t="inlineStr">
        <is>
          <t>SILIMALON 140+140+100MG 60CPR REV</t>
        </is>
      </c>
      <c r="E24" s="2" t="inlineStr">
        <is>
          <t>SILIMALON 140 140+100MG CX 60 COMP REV</t>
        </is>
      </c>
      <c r="F24" s="3" t="n">
        <v>1</v>
      </c>
      <c r="G24" s="3" t="n">
        <v>1</v>
      </c>
      <c r="H24" s="3" t="n">
        <v>1</v>
      </c>
      <c r="I24" s="4" t="n">
        <v>148.3</v>
      </c>
      <c r="J24" s="4">
        <f>G24*I24</f>
        <v/>
      </c>
      <c r="K24" s="4" t="n">
        <v>148.3</v>
      </c>
      <c r="L24" s="4" t="n">
        <v>128.47</v>
      </c>
      <c r="M24" s="4" t="n">
        <v>128.47</v>
      </c>
      <c r="N24" s="5">
        <f>K24/L24-1</f>
        <v/>
      </c>
      <c r="O24" s="6" t="inlineStr">
        <is>
          <t>ACIMA +15.4% (vs últ. compra)</t>
        </is>
      </c>
      <c r="P24" s="2" t="inlineStr"/>
    </row>
    <row r="25">
      <c r="A25" s="2" t="inlineStr">
        <is>
          <t>700797</t>
        </is>
      </c>
      <c r="B25" s="2" t="n">
        <v>297921</v>
      </c>
      <c r="C25" s="2" t="inlineStr">
        <is>
          <t>7898074617803</t>
        </is>
      </c>
      <c r="D25" s="2" t="inlineStr">
        <is>
          <t>SPIDUFEN 600MG 10ENV 3G</t>
        </is>
      </c>
      <c r="E25" s="2" t="inlineStr">
        <is>
          <t>SPIDUFEN 1155MG GRAN SOL CX 10 ENV 3G SB DAMASCO</t>
        </is>
      </c>
      <c r="F25" s="3" t="n">
        <v>1</v>
      </c>
      <c r="G25" s="3" t="n">
        <v>1</v>
      </c>
      <c r="H25" s="3" t="n">
        <v>1</v>
      </c>
      <c r="I25" s="4" t="n">
        <v>41.3</v>
      </c>
      <c r="J25" s="4">
        <f>G25*I25</f>
        <v/>
      </c>
      <c r="K25" s="4" t="n">
        <v>41.3</v>
      </c>
      <c r="L25" s="4" t="n">
        <v>42.05</v>
      </c>
      <c r="M25" s="4" t="n">
        <v>36.49</v>
      </c>
      <c r="N25" s="5">
        <f>K25/L25-1</f>
        <v/>
      </c>
      <c r="O25" s="7" t="inlineStr">
        <is>
          <t>OK (≤ últ. compra)</t>
        </is>
      </c>
      <c r="P25" s="2" t="inlineStr"/>
    </row>
    <row r="26">
      <c r="A26" s="2" t="inlineStr">
        <is>
          <t>775679</t>
        </is>
      </c>
      <c r="B26" s="2" t="n">
        <v>455901</v>
      </c>
      <c r="C26" s="2" t="inlineStr">
        <is>
          <t>7896094206014</t>
        </is>
      </c>
      <c r="D26" s="2" t="inlineStr">
        <is>
          <t>TARFIC POM 0,3MG 10G</t>
        </is>
      </c>
      <c r="E26" s="2" t="inlineStr">
        <is>
          <t>TARFIC 0,3MG POM BG 10G</t>
        </is>
      </c>
      <c r="F26" s="3" t="n">
        <v>1</v>
      </c>
      <c r="G26" s="3" t="n">
        <v>1</v>
      </c>
      <c r="H26" s="3" t="n">
        <v>1</v>
      </c>
      <c r="I26" s="4" t="n">
        <v>76.7</v>
      </c>
      <c r="J26" s="4">
        <f>G26*I26</f>
        <v/>
      </c>
      <c r="K26" s="4" t="n">
        <v>76.7</v>
      </c>
      <c r="L26" s="4" t="n">
        <v>72.27</v>
      </c>
      <c r="M26" s="4" t="n">
        <v>72.27</v>
      </c>
      <c r="N26" s="5">
        <f>K26/L26-1</f>
        <v/>
      </c>
      <c r="O26" s="6" t="inlineStr">
        <is>
          <t>ACIMA +6.1% (vs últ. compra)</t>
        </is>
      </c>
      <c r="P26" s="2" t="inlineStr"/>
    </row>
    <row r="27">
      <c r="A27" s="2" t="inlineStr">
        <is>
          <t>775681</t>
        </is>
      </c>
      <c r="B27" s="2" t="n">
        <v>455861</v>
      </c>
      <c r="C27" s="2" t="inlineStr">
        <is>
          <t>7896094206038</t>
        </is>
      </c>
      <c r="D27" s="2" t="inlineStr">
        <is>
          <t>TARFIC POM 1,0MG 10G</t>
        </is>
      </c>
      <c r="E27" s="2" t="inlineStr">
        <is>
          <t>TARFIC 1,0MG POM BG 10G</t>
        </is>
      </c>
      <c r="F27" s="3" t="n">
        <v>1</v>
      </c>
      <c r="G27" s="3" t="n">
        <v>1</v>
      </c>
      <c r="H27" s="3" t="n">
        <v>1</v>
      </c>
      <c r="I27" s="4" t="n">
        <v>76.5</v>
      </c>
      <c r="J27" s="4">
        <f>G27*I27</f>
        <v/>
      </c>
      <c r="K27" s="4" t="n">
        <v>76.5</v>
      </c>
      <c r="L27" s="4" t="n">
        <v>72.27500000000001</v>
      </c>
      <c r="M27" s="4" t="n">
        <v>72.27500000000001</v>
      </c>
      <c r="N27" s="5">
        <f>K27/L27-1</f>
        <v/>
      </c>
      <c r="O27" s="6" t="inlineStr">
        <is>
          <t>ACIMA +5.8% (vs últ. compra)</t>
        </is>
      </c>
      <c r="P27" s="2" t="inlineStr"/>
    </row>
    <row r="28">
      <c r="A28" s="2" t="inlineStr">
        <is>
          <t>771612</t>
        </is>
      </c>
      <c r="B28" s="2" t="n">
        <v>395781</v>
      </c>
      <c r="C28" s="2" t="inlineStr">
        <is>
          <t>7891010986155</t>
        </is>
      </c>
      <c r="D28" s="2" t="inlineStr">
        <is>
          <t>TYLENOL 500MG 20CPR</t>
        </is>
      </c>
      <c r="E28" s="2" t="inlineStr">
        <is>
          <t>TYLENOL 500MG CX 20 COMP REV</t>
        </is>
      </c>
      <c r="F28" s="3" t="n">
        <v>1</v>
      </c>
      <c r="G28" s="3" t="n">
        <v>3</v>
      </c>
      <c r="H28" s="3" t="n">
        <v>3</v>
      </c>
      <c r="I28" s="4" t="n">
        <v>29.8</v>
      </c>
      <c r="J28" s="4">
        <f>G28*I28</f>
        <v/>
      </c>
      <c r="K28" s="4" t="n">
        <v>29.8</v>
      </c>
      <c r="L28" s="4" t="n">
        <v>27.43</v>
      </c>
      <c r="M28" s="4" t="n">
        <v>27.43</v>
      </c>
      <c r="N28" s="5">
        <f>K28/L28-1</f>
        <v/>
      </c>
      <c r="O28" s="6" t="inlineStr">
        <is>
          <t>ACIMA +8.6% (vs últ. compra)</t>
        </is>
      </c>
      <c r="P28" s="2" t="inlineStr"/>
    </row>
    <row r="29">
      <c r="A29" s="2" t="inlineStr">
        <is>
          <t>742106</t>
        </is>
      </c>
      <c r="B29" s="2" t="n">
        <v>398541</v>
      </c>
      <c r="C29" s="2" t="inlineStr">
        <is>
          <t>7891010256968</t>
        </is>
      </c>
      <c r="D29" s="2" t="inlineStr">
        <is>
          <t>TYLENOL SINUS 500MG+30MG 24CPR REV</t>
        </is>
      </c>
      <c r="E29" s="2" t="inlineStr">
        <is>
          <t>TYLENOL SINUS 500+30MG CX 24 COMP REV</t>
        </is>
      </c>
      <c r="F29" s="3" t="n">
        <v>1</v>
      </c>
      <c r="G29" s="3" t="n">
        <v>2</v>
      </c>
      <c r="H29" s="3" t="n">
        <v>2</v>
      </c>
      <c r="I29" s="4" t="n">
        <v>18.1</v>
      </c>
      <c r="J29" s="4">
        <f>G29*I29</f>
        <v/>
      </c>
      <c r="K29" s="4" t="n">
        <v>18.1</v>
      </c>
      <c r="L29" s="4" t="n">
        <v>16.83</v>
      </c>
      <c r="M29" s="4" t="n">
        <v>16.8</v>
      </c>
      <c r="N29" s="5">
        <f>K29/L29-1</f>
        <v/>
      </c>
      <c r="O29" s="6" t="inlineStr">
        <is>
          <t>ACIMA +7.5% (vs últ. compra)</t>
        </is>
      </c>
      <c r="P29" s="2" t="inlineStr"/>
    </row>
    <row r="30">
      <c r="A30" s="2" t="inlineStr">
        <is>
          <t>794244</t>
        </is>
      </c>
      <c r="B30" s="2" t="n">
        <v>344301</v>
      </c>
      <c r="C30" s="2" t="inlineStr">
        <is>
          <t>7896641808777</t>
        </is>
      </c>
      <c r="D30" s="2" t="inlineStr">
        <is>
          <t>MESACOL 250MG 15SUP</t>
        </is>
      </c>
      <c r="E30" s="2" t="inlineStr">
        <is>
          <t>VENCIDO - PV MESACOL 250 MG SUP RET CT BERCO X 15</t>
        </is>
      </c>
      <c r="F30" s="3" t="n">
        <v>1</v>
      </c>
      <c r="G30" s="3" t="n">
        <v>1</v>
      </c>
      <c r="H30" s="3" t="n">
        <v>1</v>
      </c>
      <c r="I30" s="4" t="n">
        <v>60.6</v>
      </c>
      <c r="J30" s="4">
        <f>G30*I30</f>
        <v/>
      </c>
      <c r="K30" s="4" t="n">
        <v>60.6</v>
      </c>
      <c r="L30" s="4" t="n">
        <v>56.86</v>
      </c>
      <c r="M30" s="4" t="n">
        <v>56.86</v>
      </c>
      <c r="N30" s="5">
        <f>K30/L30-1</f>
        <v/>
      </c>
      <c r="O30" s="6" t="inlineStr">
        <is>
          <t>ACIMA +6.6% (vs últ. compra)</t>
        </is>
      </c>
      <c r="P30" s="2" t="inlineStr"/>
    </row>
    <row r="31">
      <c r="A31" s="2" t="inlineStr">
        <is>
          <t>799357</t>
        </is>
      </c>
      <c r="B31" s="2" t="n">
        <v>610801</v>
      </c>
      <c r="C31" s="2" t="inlineStr">
        <is>
          <t>7500435209786</t>
        </is>
      </c>
      <c r="D31" s="2" t="inlineStr">
        <is>
          <t>VICK XPE MEL 100ML</t>
        </is>
      </c>
      <c r="E31" s="2" t="inlineStr">
        <is>
          <t>VICK XAROPE XAROPE MIEL 100ML</t>
        </is>
      </c>
      <c r="F31" s="3" t="n">
        <v>1</v>
      </c>
      <c r="G31" s="3" t="n">
        <v>3</v>
      </c>
      <c r="H31" s="3" t="n">
        <v>3</v>
      </c>
      <c r="I31" s="4" t="n">
        <v>30</v>
      </c>
      <c r="J31" s="4">
        <f>G31*I31</f>
        <v/>
      </c>
      <c r="K31" s="4" t="n">
        <v>30</v>
      </c>
      <c r="L31" s="4" t="n">
        <v>28.7366666666667</v>
      </c>
      <c r="M31" s="4" t="n">
        <v>24.38</v>
      </c>
      <c r="N31" s="5">
        <f>K31/L31-1</f>
        <v/>
      </c>
      <c r="O31" s="6" t="inlineStr">
        <is>
          <t>ACIMA +4.4% (vs últ. compra)</t>
        </is>
      </c>
      <c r="P31" s="2" t="inlineStr"/>
    </row>
    <row r="32">
      <c r="A32" s="2" t="inlineStr">
        <is>
          <t>799472</t>
        </is>
      </c>
      <c r="B32" s="2" t="n">
        <v>671911</v>
      </c>
      <c r="C32" s="2" t="inlineStr">
        <is>
          <t>7896004780818</t>
        </is>
      </c>
      <c r="D32" s="2" t="inlineStr">
        <is>
          <t>VIOFTA 0,40% SOL OFTA 10ML</t>
        </is>
      </c>
      <c r="E32" s="2" t="inlineStr">
        <is>
          <t>VIOFTA 0,40% SOL OFT 10ML-DEMAIS PROD</t>
        </is>
      </c>
      <c r="F32" s="3" t="n">
        <v>1</v>
      </c>
      <c r="G32" s="3" t="n">
        <v>2</v>
      </c>
      <c r="H32" s="3" t="n">
        <v>2</v>
      </c>
      <c r="I32" s="4" t="n">
        <v>62.7</v>
      </c>
      <c r="J32" s="4">
        <f>G32*I32</f>
        <v/>
      </c>
      <c r="K32" s="4" t="n">
        <v>62.7</v>
      </c>
      <c r="L32" s="4" t="n">
        <v>53.03</v>
      </c>
      <c r="M32" s="4" t="n">
        <v>53.03</v>
      </c>
      <c r="N32" s="5">
        <f>K32/L32-1</f>
        <v/>
      </c>
      <c r="O32" s="6" t="inlineStr">
        <is>
          <t>ACIMA +18.2% (vs últ. compra)</t>
        </is>
      </c>
      <c r="P32" s="2" t="inlineStr"/>
    </row>
    <row r="33">
      <c r="A33" s="2" t="inlineStr">
        <is>
          <t>765174</t>
        </is>
      </c>
      <c r="B33" s="2" t="n">
        <v>468541</v>
      </c>
      <c r="C33" s="2" t="inlineStr">
        <is>
          <t>7897129303579</t>
        </is>
      </c>
      <c r="D33" s="2" t="inlineStr">
        <is>
          <t>VITACID XT CR 1MG/G 25G</t>
        </is>
      </c>
      <c r="E33" s="2" t="inlineStr">
        <is>
          <t>VITACID XT 1,00MG/G CREME DERM BG 25G</t>
        </is>
      </c>
      <c r="F33" s="3" t="n">
        <v>1</v>
      </c>
      <c r="G33" s="3" t="n">
        <v>1</v>
      </c>
      <c r="H33" s="3" t="n">
        <v>1</v>
      </c>
      <c r="I33" s="4" t="n">
        <v>58.7</v>
      </c>
      <c r="J33" s="4">
        <f>G33*I33</f>
        <v/>
      </c>
      <c r="K33" s="4" t="n">
        <v>58.7</v>
      </c>
      <c r="L33" s="4" t="n">
        <v>47.28</v>
      </c>
      <c r="M33" s="4" t="n">
        <v>47.28</v>
      </c>
      <c r="N33" s="5">
        <f>K33/L33-1</f>
        <v/>
      </c>
      <c r="O33" s="6" t="inlineStr">
        <is>
          <t>ACIMA +24.2% (vs últ. compra)</t>
        </is>
      </c>
      <c r="P33" s="2" t="inlineStr"/>
    </row>
    <row r="34">
      <c r="A34" s="2" t="inlineStr">
        <is>
          <t>718981</t>
        </is>
      </c>
      <c r="B34" s="2" t="n">
        <v>65101</v>
      </c>
      <c r="C34" s="2" t="inlineStr">
        <is>
          <t>7590002023228</t>
        </is>
      </c>
      <c r="D34" s="2" t="inlineStr">
        <is>
          <t>VICK XPE 44E 120ML</t>
        </is>
      </c>
      <c r="E34" s="2" t="inlineStr">
        <is>
          <t>XAROPE 44 E 1,30+13,30MG/ML XPE FR 120ML</t>
        </is>
      </c>
      <c r="F34" s="3" t="n">
        <v>1</v>
      </c>
      <c r="G34" s="3" t="n">
        <v>4</v>
      </c>
      <c r="H34" s="3" t="n">
        <v>4</v>
      </c>
      <c r="I34" s="4" t="n">
        <v>30</v>
      </c>
      <c r="J34" s="4">
        <f>G34*I34</f>
        <v/>
      </c>
      <c r="K34" s="4" t="n">
        <v>30</v>
      </c>
      <c r="L34" s="4" t="n">
        <v>30.73</v>
      </c>
      <c r="M34" s="4" t="n">
        <v>23.2152</v>
      </c>
      <c r="N34" s="5">
        <f>K34/L34-1</f>
        <v/>
      </c>
      <c r="O34" s="7" t="inlineStr">
        <is>
          <t>OK (≤ últ. compra)</t>
        </is>
      </c>
      <c r="P34" s="2" t="inlineStr"/>
    </row>
    <row r="35">
      <c r="A35" s="2" t="inlineStr">
        <is>
          <t>796410</t>
        </is>
      </c>
      <c r="B35" s="2" t="n">
        <v>273361</v>
      </c>
      <c r="C35" s="2" t="inlineStr">
        <is>
          <t>7500435153072</t>
        </is>
      </c>
      <c r="D35" s="2" t="inlineStr">
        <is>
          <t>VICK XPE INFANTIL 120ML</t>
        </is>
      </c>
      <c r="E35" s="2" t="inlineStr">
        <is>
          <t>XAROPE VICK 13,3MG/ML XPE FR 120ML</t>
        </is>
      </c>
      <c r="F35" s="3" t="n">
        <v>1</v>
      </c>
      <c r="G35" s="3" t="n">
        <v>4</v>
      </c>
      <c r="H35" s="3" t="n">
        <v>4</v>
      </c>
      <c r="I35" s="4" t="n">
        <v>30</v>
      </c>
      <c r="J35" s="4">
        <f>G35*I35</f>
        <v/>
      </c>
      <c r="K35" s="4" t="n">
        <v>30</v>
      </c>
      <c r="L35" s="4" t="n">
        <v>28.7378571428571</v>
      </c>
      <c r="M35" s="4" t="n">
        <v>24.3825</v>
      </c>
      <c r="N35" s="5">
        <f>K35/L35-1</f>
        <v/>
      </c>
      <c r="O35" s="6" t="inlineStr">
        <is>
          <t>ACIMA +4.4% (vs últ. compra)</t>
        </is>
      </c>
      <c r="P35" s="2" t="inlineStr"/>
    </row>
    <row r="36">
      <c r="E36" s="8" t="inlineStr">
        <is>
          <t>TOTAL</t>
        </is>
      </c>
      <c r="J36" s="9">
        <f>SUM(J2:J35)</f>
        <v/>
      </c>
    </row>
    <row r="38">
      <c r="A38" s="10" t="inlineStr">
        <is>
          <t>Preços da cotação SB LOG de 04/09/2026. 'Menor hist. (un)' = menor entre melhores 3/6/12 meses; 'Últ. compra (un)' = compra atual. Status OK quando o preço unit. equivalente é ≤ menor histórico ou ≤ última compra. 'Qtd pedido' na base de faturamento do distribuidor (caixa ou unidade); 'Un. totais' = unidades da lista de compra.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2026-09-04T22:08:24Z</dcterms:created>
  <dcterms:modified xsi:type="dcterms:W3CDTF">2026-09-04T22:08:24Z</dcterms:modified>
</cp:coreProperties>
</file>