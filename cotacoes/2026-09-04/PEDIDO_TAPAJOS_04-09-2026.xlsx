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164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3" fillId="0" borderId="0" pivotButton="0" quotePrefix="0" xfId="0"/>
    <xf numFmtId="4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5" customWidth="1" min="3" max="3"/>
    <col width="42" customWidth="1" min="4" max="4"/>
    <col width="42" customWidth="1" min="5" max="5"/>
    <col width="7" customWidth="1" min="6" max="6"/>
    <col width="9" customWidth="1" min="7" max="7"/>
    <col width="9" customWidth="1" min="8" max="8"/>
    <col width="11" customWidth="1" min="9" max="9"/>
    <col width="12" customWidth="1" min="10" max="10"/>
    <col width="11" customWidth="1" min="11" max="11"/>
    <col width="11" customWidth="1" min="12" max="12"/>
    <col width="11" customWidth="1" min="13" max="13"/>
    <col width="9" customWidth="1" min="14" max="14"/>
    <col width="20" customWidth="1" min="15" max="15"/>
    <col width="26" customWidth="1" min="16" max="16"/>
  </cols>
  <sheetData>
    <row r="1" ht="28" customHeight="1">
      <c r="A1" s="1" t="inlineStr">
        <is>
          <t>Cód. distribuidor</t>
        </is>
      </c>
      <c r="B1" s="1" t="inlineStr">
        <is>
          <t>Cód. interno</t>
        </is>
      </c>
      <c r="C1" s="1" t="inlineStr">
        <is>
          <t>EAN</t>
        </is>
      </c>
      <c r="D1" s="1" t="inlineStr">
        <is>
          <t>Produto (distribuidor)</t>
        </is>
      </c>
      <c r="E1" s="1" t="inlineStr">
        <is>
          <t>Produto (controle)</t>
        </is>
      </c>
      <c r="F1" s="1" t="inlineStr">
        <is>
          <t>Un/Cx</t>
        </is>
      </c>
      <c r="G1" s="1" t="inlineStr">
        <is>
          <t>Qtd pedido</t>
        </is>
      </c>
      <c r="H1" s="1" t="inlineStr">
        <is>
          <t>Un. totais</t>
        </is>
      </c>
      <c r="I1" s="1" t="inlineStr">
        <is>
          <t>Preço cotado</t>
        </is>
      </c>
      <c r="J1" s="1" t="inlineStr">
        <is>
          <t>Total</t>
        </is>
      </c>
      <c r="K1" s="1" t="inlineStr">
        <is>
          <t>Preço un. equiv.</t>
        </is>
      </c>
      <c r="L1" s="1" t="inlineStr">
        <is>
          <t>Últ. compra (un)</t>
        </is>
      </c>
      <c r="M1" s="1" t="inlineStr">
        <is>
          <t>Menor hist. (un)</t>
        </is>
      </c>
      <c r="N1" s="1" t="inlineStr">
        <is>
          <t>Dif. %</t>
        </is>
      </c>
      <c r="O1" s="1" t="inlineStr">
        <is>
          <t>Status</t>
        </is>
      </c>
      <c r="P1" s="1" t="inlineStr">
        <is>
          <t>Obs</t>
        </is>
      </c>
    </row>
    <row r="2">
      <c r="A2" s="2" t="inlineStr"/>
      <c r="B2" s="2" t="n">
        <v>674181</v>
      </c>
      <c r="C2" s="2" t="inlineStr">
        <is>
          <t>7891317049225</t>
        </is>
      </c>
      <c r="D2" s="2" t="inlineStr"/>
      <c r="E2" s="2" t="inlineStr">
        <is>
          <t>10BI IMUNE C/30CP-DEMAIS PROD</t>
        </is>
      </c>
      <c r="F2" s="3" t="n">
        <v>1</v>
      </c>
      <c r="G2" s="3" t="n">
        <v>1</v>
      </c>
      <c r="H2" s="3" t="n">
        <v>1</v>
      </c>
      <c r="I2" s="4" t="n">
        <v>119.3</v>
      </c>
      <c r="J2" s="4">
        <f>G2*I2</f>
        <v/>
      </c>
      <c r="K2" s="4" t="n">
        <v>119.3</v>
      </c>
      <c r="L2" s="4" t="n">
        <v>125.7</v>
      </c>
      <c r="M2" s="4" t="n">
        <v>118.3</v>
      </c>
      <c r="N2" s="5">
        <f>K2/L2-1</f>
        <v/>
      </c>
      <c r="O2" s="6" t="inlineStr">
        <is>
          <t>OK (≤ últ. compra)</t>
        </is>
      </c>
      <c r="P2" s="2" t="inlineStr"/>
    </row>
    <row r="3">
      <c r="A3" s="2" t="inlineStr"/>
      <c r="B3" s="2" t="n">
        <v>469661</v>
      </c>
      <c r="C3" s="2" t="inlineStr">
        <is>
          <t>7891317013967</t>
        </is>
      </c>
      <c r="D3" s="2" t="inlineStr"/>
      <c r="E3" s="2" t="inlineStr">
        <is>
          <t>ANDOLBA 4,5%+0,5%+0,5% AER TOP TB 43G</t>
        </is>
      </c>
      <c r="F3" s="3" t="n">
        <v>1</v>
      </c>
      <c r="G3" s="3" t="n">
        <v>2</v>
      </c>
      <c r="H3" s="3" t="n">
        <v>2</v>
      </c>
      <c r="I3" s="4" t="n">
        <v>30.01</v>
      </c>
      <c r="J3" s="4">
        <f>G3*I3</f>
        <v/>
      </c>
      <c r="K3" s="4" t="n">
        <v>30.01</v>
      </c>
      <c r="L3" s="4" t="n">
        <v>28.045</v>
      </c>
      <c r="M3" s="4" t="n">
        <v>28.04</v>
      </c>
      <c r="N3" s="5">
        <f>K3/L3-1</f>
        <v/>
      </c>
      <c r="O3" s="7" t="inlineStr">
        <is>
          <t>ACIMA +7.0% (vs últ. compra)</t>
        </is>
      </c>
      <c r="P3" s="2" t="inlineStr"/>
    </row>
    <row r="4">
      <c r="A4" s="2" t="inlineStr"/>
      <c r="B4" s="2" t="n">
        <v>316181</v>
      </c>
      <c r="C4" s="2" t="inlineStr">
        <is>
          <t>7896658001789</t>
        </is>
      </c>
      <c r="D4" s="2" t="inlineStr"/>
      <c r="E4" s="2" t="inlineStr">
        <is>
          <t>ANTUX 6MG XPE FR 120ML+CM ADU</t>
        </is>
      </c>
      <c r="F4" s="3" t="n">
        <v>1</v>
      </c>
      <c r="G4" s="3" t="n">
        <v>1</v>
      </c>
      <c r="H4" s="3" t="n">
        <v>1</v>
      </c>
      <c r="I4" s="4" t="n">
        <v>34.92</v>
      </c>
      <c r="J4" s="4">
        <f>G4*I4</f>
        <v/>
      </c>
      <c r="K4" s="4" t="n">
        <v>34.92</v>
      </c>
      <c r="L4" s="4" t="n">
        <v>34.92</v>
      </c>
      <c r="M4" s="4" t="n">
        <v>23.5225</v>
      </c>
      <c r="N4" s="5">
        <f>K4/L4-1</f>
        <v/>
      </c>
      <c r="O4" s="6" t="inlineStr">
        <is>
          <t>OK (≤ últ. compra)</t>
        </is>
      </c>
      <c r="P4" s="2" t="inlineStr"/>
    </row>
    <row r="5">
      <c r="A5" s="2" t="inlineStr"/>
      <c r="B5" s="2" t="n">
        <v>149921</v>
      </c>
      <c r="C5" s="2" t="inlineStr">
        <is>
          <t>7896261018181</t>
        </is>
      </c>
      <c r="D5" s="2" t="inlineStr"/>
      <c r="E5" s="2" t="inlineStr">
        <is>
          <t>APRESOLINA 25MG CX 20 DRG</t>
        </is>
      </c>
      <c r="F5" s="3" t="n">
        <v>1</v>
      </c>
      <c r="G5" s="3" t="n">
        <v>1</v>
      </c>
      <c r="H5" s="3" t="n">
        <v>1</v>
      </c>
      <c r="I5" s="4" t="n">
        <v>7.43</v>
      </c>
      <c r="J5" s="4">
        <f>G5*I5</f>
        <v/>
      </c>
      <c r="K5" s="4" t="n">
        <v>7.43</v>
      </c>
      <c r="L5" s="4" t="n">
        <v>7.963125</v>
      </c>
      <c r="M5" s="4" t="n">
        <v>6.64</v>
      </c>
      <c r="N5" s="5">
        <f>K5/L5-1</f>
        <v/>
      </c>
      <c r="O5" s="6" t="inlineStr">
        <is>
          <t>OK (≤ últ. compra)</t>
        </is>
      </c>
      <c r="P5" s="2" t="inlineStr"/>
    </row>
    <row r="6">
      <c r="A6" s="2" t="inlineStr"/>
      <c r="B6" s="2" t="n">
        <v>323221</v>
      </c>
      <c r="C6" s="2" t="inlineStr">
        <is>
          <t>7896658008115</t>
        </is>
      </c>
      <c r="D6" s="2" t="inlineStr"/>
      <c r="E6" s="2" t="inlineStr">
        <is>
          <t>ARTROSIL 160MG CX 10 CAP</t>
        </is>
      </c>
      <c r="F6" s="3" t="n">
        <v>1</v>
      </c>
      <c r="G6" s="3" t="n">
        <v>4</v>
      </c>
      <c r="H6" s="3" t="n">
        <v>4</v>
      </c>
      <c r="I6" s="4" t="n">
        <v>28.34</v>
      </c>
      <c r="J6" s="4">
        <f>G6*I6</f>
        <v/>
      </c>
      <c r="K6" s="4" t="n">
        <v>28.34</v>
      </c>
      <c r="L6" s="4" t="n">
        <v>18.6483333333333</v>
      </c>
      <c r="M6" s="4" t="n">
        <v>18.6483</v>
      </c>
      <c r="N6" s="5">
        <f>K6/L6-1</f>
        <v/>
      </c>
      <c r="O6" s="7" t="inlineStr">
        <is>
          <t>ACIMA +52.0% (vs últ. compra)</t>
        </is>
      </c>
      <c r="P6" s="2" t="inlineStr"/>
    </row>
    <row r="7">
      <c r="A7" s="2" t="inlineStr"/>
      <c r="B7" s="2" t="n">
        <v>47321</v>
      </c>
      <c r="C7" s="2" t="inlineStr">
        <is>
          <t>7891317412692</t>
        </is>
      </c>
      <c r="D7" s="2" t="inlineStr"/>
      <c r="E7" s="2" t="inlineStr">
        <is>
          <t>ASTRO 600MG CX 1FA+DIL</t>
        </is>
      </c>
      <c r="F7" s="3" t="n">
        <v>1</v>
      </c>
      <c r="G7" s="3" t="n">
        <v>2</v>
      </c>
      <c r="H7" s="3" t="n">
        <v>2</v>
      </c>
      <c r="I7" s="4" t="n">
        <v>41.97</v>
      </c>
      <c r="J7" s="4">
        <f>G7*I7</f>
        <v/>
      </c>
      <c r="K7" s="4" t="n">
        <v>41.97</v>
      </c>
      <c r="L7" s="4" t="n">
        <v>38.26</v>
      </c>
      <c r="M7" s="4" t="n">
        <v>38.26</v>
      </c>
      <c r="N7" s="5">
        <f>K7/L7-1</f>
        <v/>
      </c>
      <c r="O7" s="7" t="inlineStr">
        <is>
          <t>ACIMA +9.7% (vs últ. compra)</t>
        </is>
      </c>
      <c r="P7" s="2" t="inlineStr"/>
    </row>
    <row r="8">
      <c r="A8" s="2" t="inlineStr"/>
      <c r="B8" s="2" t="n">
        <v>594191</v>
      </c>
      <c r="C8" s="2" t="inlineStr">
        <is>
          <t>7891317014162</t>
        </is>
      </c>
      <c r="D8" s="2" t="inlineStr"/>
      <c r="E8" s="2" t="inlineStr">
        <is>
          <t>ATAK CLAV 875+125MG CX 14 COMP REV</t>
        </is>
      </c>
      <c r="F8" s="3" t="n">
        <v>1</v>
      </c>
      <c r="G8" s="3" t="n">
        <v>1</v>
      </c>
      <c r="H8" s="3" t="n">
        <v>1</v>
      </c>
      <c r="I8" s="4" t="n">
        <v>54.33</v>
      </c>
      <c r="J8" s="4">
        <f>G8*I8</f>
        <v/>
      </c>
      <c r="K8" s="4" t="n">
        <v>54.33</v>
      </c>
      <c r="L8" s="4" t="n">
        <v>66.98999999999999</v>
      </c>
      <c r="M8" s="4" t="n">
        <v>49.5083</v>
      </c>
      <c r="N8" s="5">
        <f>K8/L8-1</f>
        <v/>
      </c>
      <c r="O8" s="6" t="inlineStr">
        <is>
          <t>OK (≤ últ. compra)</t>
        </is>
      </c>
      <c r="P8" s="2" t="inlineStr"/>
    </row>
    <row r="9">
      <c r="A9" s="2" t="inlineStr"/>
      <c r="B9" s="2" t="n">
        <v>582181</v>
      </c>
      <c r="C9" s="2" t="inlineStr">
        <is>
          <t>7896026307826</t>
        </is>
      </c>
      <c r="D9" s="2" t="inlineStr"/>
      <c r="E9" s="2" t="inlineStr">
        <is>
          <t>ATROVENT 0,25MG/ML SOL INAL CT FR VD AMB X 20ML</t>
        </is>
      </c>
      <c r="F9" s="3" t="n">
        <v>1</v>
      </c>
      <c r="G9" s="3" t="n">
        <v>3</v>
      </c>
      <c r="H9" s="3" t="n">
        <v>3</v>
      </c>
      <c r="I9" s="4" t="n">
        <v>22.33</v>
      </c>
      <c r="J9" s="4">
        <f>G9*I9</f>
        <v/>
      </c>
      <c r="K9" s="4" t="n">
        <v>22.33</v>
      </c>
      <c r="L9" s="4" t="n">
        <v>22.33</v>
      </c>
      <c r="M9" s="4" t="n">
        <v>19.266</v>
      </c>
      <c r="N9" s="5">
        <f>K9/L9-1</f>
        <v/>
      </c>
      <c r="O9" s="6" t="inlineStr">
        <is>
          <t>OK (≤ últ. compra)</t>
        </is>
      </c>
      <c r="P9" s="2" t="inlineStr"/>
    </row>
    <row r="10">
      <c r="A10" s="2" t="inlineStr"/>
      <c r="B10" s="2" t="n">
        <v>364041</v>
      </c>
      <c r="C10" s="2" t="inlineStr">
        <is>
          <t>7891317172749</t>
        </is>
      </c>
      <c r="D10" s="2" t="inlineStr"/>
      <c r="E10" s="2" t="inlineStr">
        <is>
          <t>AZOX 20MG/ML PO SUS OR FR 100ML+SER DOS</t>
        </is>
      </c>
      <c r="F10" s="3" t="n">
        <v>1</v>
      </c>
      <c r="G10" s="3" t="n">
        <v>1</v>
      </c>
      <c r="H10" s="3" t="n">
        <v>1</v>
      </c>
      <c r="I10" s="4" t="n">
        <v>46.74</v>
      </c>
      <c r="J10" s="4">
        <f>G10*I10</f>
        <v/>
      </c>
      <c r="K10" s="4" t="n">
        <v>46.74</v>
      </c>
      <c r="L10" s="4" t="n">
        <v>46.74</v>
      </c>
      <c r="M10" s="4" t="n">
        <v>42.955</v>
      </c>
      <c r="N10" s="5">
        <f>K10/L10-1</f>
        <v/>
      </c>
      <c r="O10" s="6" t="inlineStr">
        <is>
          <t>OK (≤ últ. compra)</t>
        </is>
      </c>
      <c r="P10" s="2" t="inlineStr"/>
    </row>
    <row r="11">
      <c r="A11" s="2" t="inlineStr"/>
      <c r="B11" s="2" t="n">
        <v>339861</v>
      </c>
      <c r="C11" s="2" t="inlineStr">
        <is>
          <t>7896004726793</t>
        </is>
      </c>
      <c r="D11" s="2" t="inlineStr"/>
      <c r="E11" s="2" t="inlineStr">
        <is>
          <t>BALSAMO BENGUE 0,10+0,50G AER FR 60G</t>
        </is>
      </c>
      <c r="F11" s="3" t="n">
        <v>1</v>
      </c>
      <c r="G11" s="3" t="n">
        <v>1</v>
      </c>
      <c r="H11" s="3" t="n">
        <v>1</v>
      </c>
      <c r="I11" s="4" t="n">
        <v>34.71</v>
      </c>
      <c r="J11" s="4">
        <f>G11*I11</f>
        <v/>
      </c>
      <c r="K11" s="4" t="n">
        <v>34.71</v>
      </c>
      <c r="L11" s="4" t="n">
        <v>28.88</v>
      </c>
      <c r="M11" s="4" t="n">
        <v>25.51</v>
      </c>
      <c r="N11" s="5">
        <f>K11/L11-1</f>
        <v/>
      </c>
      <c r="O11" s="7" t="inlineStr">
        <is>
          <t>ACIMA +20.2% (vs últ. compra)</t>
        </is>
      </c>
      <c r="P11" s="2" t="inlineStr"/>
    </row>
    <row r="12">
      <c r="A12" s="2" t="inlineStr"/>
      <c r="B12" s="2" t="n">
        <v>339821</v>
      </c>
      <c r="C12" s="2" t="inlineStr">
        <is>
          <t>7896004817576</t>
        </is>
      </c>
      <c r="D12" s="2" t="inlineStr"/>
      <c r="E12" s="2" t="inlineStr">
        <is>
          <t>BALSAMO BENGUE GEL BG 20G</t>
        </is>
      </c>
      <c r="F12" s="3" t="n">
        <v>1</v>
      </c>
      <c r="G12" s="3" t="n">
        <v>2</v>
      </c>
      <c r="H12" s="3" t="n">
        <v>2</v>
      </c>
      <c r="I12" s="4" t="n">
        <v>19.96</v>
      </c>
      <c r="J12" s="4">
        <f>G12*I12</f>
        <v/>
      </c>
      <c r="K12" s="4" t="n">
        <v>19.96</v>
      </c>
      <c r="L12" s="4" t="n">
        <v>19.96</v>
      </c>
      <c r="M12" s="4" t="n">
        <v>13.96</v>
      </c>
      <c r="N12" s="5">
        <f>K12/L12-1</f>
        <v/>
      </c>
      <c r="O12" s="6" t="inlineStr">
        <is>
          <t>OK (≤ últ. compra)</t>
        </is>
      </c>
      <c r="P12" s="2" t="inlineStr"/>
    </row>
    <row r="13">
      <c r="A13" s="2" t="inlineStr"/>
      <c r="B13" s="2" t="n">
        <v>596541</v>
      </c>
      <c r="C13" s="2" t="inlineStr">
        <is>
          <t>7891317026554</t>
        </is>
      </c>
      <c r="D13" s="2" t="inlineStr"/>
      <c r="E13" s="2" t="inlineStr">
        <is>
          <t>BEDOZE 5MG/ML SOL INJ 2 AMP X 1ML</t>
        </is>
      </c>
      <c r="F13" s="3" t="n">
        <v>1</v>
      </c>
      <c r="G13" s="3" t="n">
        <v>1</v>
      </c>
      <c r="H13" s="3" t="n">
        <v>1</v>
      </c>
      <c r="I13" s="4" t="n">
        <v>31.9</v>
      </c>
      <c r="J13" s="4">
        <f>G13*I13</f>
        <v/>
      </c>
      <c r="K13" s="4" t="n">
        <v>31.9</v>
      </c>
      <c r="L13" s="4" t="n">
        <v>32.8</v>
      </c>
      <c r="M13" s="4" t="n">
        <v>30.2</v>
      </c>
      <c r="N13" s="5">
        <f>K13/L13-1</f>
        <v/>
      </c>
      <c r="O13" s="6" t="inlineStr">
        <is>
          <t>OK (≤ últ. compra)</t>
        </is>
      </c>
      <c r="P13" s="2" t="inlineStr"/>
    </row>
    <row r="14">
      <c r="A14" s="2" t="inlineStr"/>
      <c r="B14" s="2" t="n">
        <v>666671</v>
      </c>
      <c r="C14" s="2" t="inlineStr">
        <is>
          <t>7891106914628</t>
        </is>
      </c>
      <c r="D14" s="2" t="inlineStr"/>
      <c r="E14" s="2" t="inlineStr">
        <is>
          <t>BEPANTOL DERMA REGENERADOR 200ML-DEMAIS PROD</t>
        </is>
      </c>
      <c r="F14" s="3" t="n">
        <v>1</v>
      </c>
      <c r="G14" s="3" t="n">
        <v>1</v>
      </c>
      <c r="H14" s="3" t="n">
        <v>1</v>
      </c>
      <c r="I14" s="4" t="n">
        <v>46.5</v>
      </c>
      <c r="J14" s="4">
        <f>G14*I14</f>
        <v/>
      </c>
      <c r="K14" s="4" t="n">
        <v>46.5</v>
      </c>
      <c r="L14" s="4" t="n">
        <v>59.3</v>
      </c>
      <c r="M14" s="4" t="n">
        <v>59.3</v>
      </c>
      <c r="N14" s="5">
        <f>K14/L14-1</f>
        <v/>
      </c>
      <c r="O14" s="6" t="inlineStr">
        <is>
          <t>OK (≤ menor hist.)</t>
        </is>
      </c>
      <c r="P14" s="2" t="inlineStr"/>
    </row>
    <row r="15">
      <c r="A15" s="2" t="inlineStr"/>
      <c r="B15" s="2" t="n">
        <v>254101</v>
      </c>
      <c r="C15" s="2" t="inlineStr">
        <is>
          <t>7891317103323</t>
        </is>
      </c>
      <c r="D15" s="2" t="inlineStr"/>
      <c r="E15" s="2" t="inlineStr">
        <is>
          <t>BETATRINTA 5+2MG/ML SUS INJ AMP X 1ML+SER SIST</t>
        </is>
      </c>
      <c r="F15" s="3" t="n">
        <v>1</v>
      </c>
      <c r="G15" s="3" t="n">
        <v>28</v>
      </c>
      <c r="H15" s="3" t="n">
        <v>28</v>
      </c>
      <c r="I15" s="4" t="n">
        <v>22.91</v>
      </c>
      <c r="J15" s="4">
        <f>G15*I15</f>
        <v/>
      </c>
      <c r="K15" s="4" t="n">
        <v>22.91</v>
      </c>
      <c r="L15" s="4" t="n">
        <v>22.91</v>
      </c>
      <c r="M15" s="4" t="n">
        <v>20.871</v>
      </c>
      <c r="N15" s="5">
        <f>K15/L15-1</f>
        <v/>
      </c>
      <c r="O15" s="6" t="inlineStr">
        <is>
          <t>OK (≤ últ. compra)</t>
        </is>
      </c>
      <c r="P15" s="2" t="inlineStr"/>
    </row>
    <row r="16">
      <c r="A16" s="2" t="inlineStr"/>
      <c r="B16" s="2" t="n">
        <v>128081</v>
      </c>
      <c r="C16" s="2" t="inlineStr">
        <is>
          <t>7891317478964</t>
        </is>
      </c>
      <c r="D16" s="2" t="inlineStr"/>
      <c r="E16" s="2" t="inlineStr">
        <is>
          <t>BETINA 24MG CX 30 COMP</t>
        </is>
      </c>
      <c r="F16" s="3" t="n">
        <v>1</v>
      </c>
      <c r="G16" s="3" t="n">
        <v>2</v>
      </c>
      <c r="H16" s="3" t="n">
        <v>2</v>
      </c>
      <c r="I16" s="4" t="n">
        <v>28.76</v>
      </c>
      <c r="J16" s="4">
        <f>G16*I16</f>
        <v/>
      </c>
      <c r="K16" s="4" t="n">
        <v>28.76</v>
      </c>
      <c r="L16" s="4" t="n">
        <v>29.58</v>
      </c>
      <c r="M16" s="4" t="n">
        <v>26.87</v>
      </c>
      <c r="N16" s="5">
        <f>K16/L16-1</f>
        <v/>
      </c>
      <c r="O16" s="6" t="inlineStr">
        <is>
          <t>OK (≤ últ. compra)</t>
        </is>
      </c>
      <c r="P16" s="2" t="inlineStr"/>
    </row>
    <row r="17">
      <c r="A17" s="2" t="inlineStr"/>
      <c r="B17" s="2" t="n">
        <v>550721</v>
      </c>
      <c r="C17" s="2" t="inlineStr">
        <is>
          <t>7891317001964</t>
        </is>
      </c>
      <c r="D17" s="2" t="inlineStr"/>
      <c r="E17" s="2" t="inlineStr">
        <is>
          <t>BICERTO 150MG CX 10 COMP LIB PROL</t>
        </is>
      </c>
      <c r="F17" s="3" t="n">
        <v>1</v>
      </c>
      <c r="G17" s="3" t="n">
        <v>3</v>
      </c>
      <c r="H17" s="3" t="n">
        <v>3</v>
      </c>
      <c r="I17" s="4" t="n">
        <v>40.07</v>
      </c>
      <c r="J17" s="4">
        <f>G17*I17</f>
        <v/>
      </c>
      <c r="K17" s="4" t="n">
        <v>40.07</v>
      </c>
      <c r="L17" s="4" t="n">
        <v>41.2</v>
      </c>
      <c r="M17" s="4" t="n">
        <v>36.52</v>
      </c>
      <c r="N17" s="5">
        <f>K17/L17-1</f>
        <v/>
      </c>
      <c r="O17" s="6" t="inlineStr">
        <is>
          <t>OK (≤ últ. compra)</t>
        </is>
      </c>
      <c r="P17" s="2" t="inlineStr"/>
    </row>
    <row r="18">
      <c r="A18" s="2" t="inlineStr"/>
      <c r="B18" s="2" t="n">
        <v>457961</v>
      </c>
      <c r="C18" s="2" t="inlineStr">
        <is>
          <t>7896004810140</t>
        </is>
      </c>
      <c r="D18" s="2" t="inlineStr"/>
      <c r="E18" s="2" t="inlineStr">
        <is>
          <t>BISMU-JET SOL FR GTS 20ML</t>
        </is>
      </c>
      <c r="F18" s="3" t="n">
        <v>1</v>
      </c>
      <c r="G18" s="3" t="n">
        <v>1</v>
      </c>
      <c r="H18" s="3" t="n">
        <v>1</v>
      </c>
      <c r="I18" s="4" t="n">
        <v>16.56</v>
      </c>
      <c r="J18" s="4">
        <f>G18*I18</f>
        <v/>
      </c>
      <c r="K18" s="4" t="n">
        <v>16.56</v>
      </c>
      <c r="L18" s="4" t="n">
        <v>16.56</v>
      </c>
      <c r="M18" s="4" t="n">
        <v>14.3</v>
      </c>
      <c r="N18" s="5">
        <f>K18/L18-1</f>
        <v/>
      </c>
      <c r="O18" s="6" t="inlineStr">
        <is>
          <t>OK (≤ últ. compra)</t>
        </is>
      </c>
      <c r="P18" s="2" t="inlineStr"/>
    </row>
    <row r="19">
      <c r="A19" s="2" t="inlineStr"/>
      <c r="B19" s="2" t="n">
        <v>477521</v>
      </c>
      <c r="C19" s="2" t="inlineStr">
        <is>
          <t>7896658018763</t>
        </is>
      </c>
      <c r="D19" s="2" t="inlineStr"/>
      <c r="E19" s="2" t="inlineStr">
        <is>
          <t>BRAVAN HCT 160+12,5MG CX 30 COMP REV</t>
        </is>
      </c>
      <c r="F19" s="3" t="n">
        <v>1</v>
      </c>
      <c r="G19" s="3" t="n">
        <v>4</v>
      </c>
      <c r="H19" s="3" t="n">
        <v>4</v>
      </c>
      <c r="I19" s="4" t="n">
        <v>59.93</v>
      </c>
      <c r="J19" s="4">
        <f>G19*I19</f>
        <v/>
      </c>
      <c r="K19" s="4" t="n">
        <v>59.93</v>
      </c>
      <c r="L19" s="4" t="n">
        <v>61.6</v>
      </c>
      <c r="M19" s="4" t="n">
        <v>57.85</v>
      </c>
      <c r="N19" s="5">
        <f>K19/L19-1</f>
        <v/>
      </c>
      <c r="O19" s="6" t="inlineStr">
        <is>
          <t>OK (≤ últ. compra)</t>
        </is>
      </c>
      <c r="P19" s="2" t="inlineStr"/>
    </row>
    <row r="20">
      <c r="A20" s="2" t="inlineStr"/>
      <c r="B20" s="2" t="n">
        <v>293601</v>
      </c>
      <c r="C20" s="2" t="inlineStr">
        <is>
          <t>7896548140284</t>
        </is>
      </c>
      <c r="D20" s="2" t="inlineStr"/>
      <c r="E20" s="2" t="inlineStr">
        <is>
          <t>CERUMIN 0,4+140MG SOL OTO FR GTS 8ML</t>
        </is>
      </c>
      <c r="F20" s="3" t="n">
        <v>1</v>
      </c>
      <c r="G20" s="3" t="n">
        <v>11</v>
      </c>
      <c r="H20" s="3" t="n">
        <v>11</v>
      </c>
      <c r="I20" s="4" t="n">
        <v>21.23</v>
      </c>
      <c r="J20" s="4">
        <f>G20*I20</f>
        <v/>
      </c>
      <c r="K20" s="4" t="n">
        <v>21.23</v>
      </c>
      <c r="L20" s="4" t="n">
        <v>21.23</v>
      </c>
      <c r="M20" s="4" t="n">
        <v>13.7043</v>
      </c>
      <c r="N20" s="5">
        <f>K20/L20-1</f>
        <v/>
      </c>
      <c r="O20" s="6" t="inlineStr">
        <is>
          <t>OK (≤ últ. compra)</t>
        </is>
      </c>
      <c r="P20" s="2" t="inlineStr"/>
    </row>
    <row r="21">
      <c r="A21" s="2" t="inlineStr"/>
      <c r="B21" s="2" t="n">
        <v>135661</v>
      </c>
      <c r="C21" s="2" t="inlineStr">
        <is>
          <t>7891158106965</t>
        </is>
      </c>
      <c r="D21" s="2" t="inlineStr"/>
      <c r="E21" s="2" t="inlineStr">
        <is>
          <t>COBAVITAL 1+4MG 16 COMP</t>
        </is>
      </c>
      <c r="F21" s="3" t="n">
        <v>1</v>
      </c>
      <c r="G21" s="3" t="n">
        <v>5</v>
      </c>
      <c r="H21" s="3" t="n">
        <v>5</v>
      </c>
      <c r="I21" s="4" t="n">
        <v>21.67</v>
      </c>
      <c r="J21" s="4">
        <f>G21*I21</f>
        <v/>
      </c>
      <c r="K21" s="4" t="n">
        <v>21.67</v>
      </c>
      <c r="L21" s="4" t="n">
        <v>21.67</v>
      </c>
      <c r="M21" s="4" t="n">
        <v>18.21</v>
      </c>
      <c r="N21" s="5">
        <f>K21/L21-1</f>
        <v/>
      </c>
      <c r="O21" s="6" t="inlineStr">
        <is>
          <t>OK (≤ últ. compra)</t>
        </is>
      </c>
      <c r="P21" s="2" t="inlineStr"/>
    </row>
    <row r="22">
      <c r="A22" s="2" t="inlineStr"/>
      <c r="B22" s="2" t="n">
        <v>661331</v>
      </c>
      <c r="C22" s="2" t="inlineStr">
        <is>
          <t>7891158106897</t>
        </is>
      </c>
      <c r="D22" s="2" t="inlineStr"/>
      <c r="E22" s="2" t="inlineStr">
        <is>
          <t>COBAVITAL 30CPR</t>
        </is>
      </c>
      <c r="F22" s="3" t="n">
        <v>1</v>
      </c>
      <c r="G22" s="3" t="n">
        <v>1</v>
      </c>
      <c r="H22" s="3" t="n">
        <v>1</v>
      </c>
      <c r="I22" s="4" t="n">
        <v>34.36</v>
      </c>
      <c r="J22" s="4">
        <f>G22*I22</f>
        <v/>
      </c>
      <c r="K22" s="4" t="n">
        <v>34.36</v>
      </c>
      <c r="L22" s="4" t="n">
        <v>34.36</v>
      </c>
      <c r="M22" s="4" t="n">
        <v>26.64</v>
      </c>
      <c r="N22" s="5">
        <f>K22/L22-1</f>
        <v/>
      </c>
      <c r="O22" s="6" t="inlineStr">
        <is>
          <t>OK (≤ últ. compra)</t>
        </is>
      </c>
      <c r="P22" s="2" t="inlineStr"/>
    </row>
    <row r="23">
      <c r="A23" s="2" t="inlineStr"/>
      <c r="B23" s="2" t="n">
        <v>556181</v>
      </c>
      <c r="C23" s="2" t="inlineStr">
        <is>
          <t>7896658029806</t>
        </is>
      </c>
      <c r="D23" s="2" t="inlineStr"/>
      <c r="E23" s="2" t="inlineStr">
        <is>
          <t>COMBI AD SUSOR FR 30ML+PIPETA</t>
        </is>
      </c>
      <c r="F23" s="3" t="n">
        <v>1</v>
      </c>
      <c r="G23" s="3" t="n">
        <v>1</v>
      </c>
      <c r="H23" s="3" t="n">
        <v>1</v>
      </c>
      <c r="I23" s="4" t="n">
        <v>50.06</v>
      </c>
      <c r="J23" s="4">
        <f>G23*I23</f>
        <v/>
      </c>
      <c r="K23" s="4" t="n">
        <v>50.06</v>
      </c>
      <c r="L23" s="4" t="n">
        <v>46.1466666666667</v>
      </c>
      <c r="M23" s="4" t="n">
        <v>46.1466666666667</v>
      </c>
      <c r="N23" s="5">
        <f>K23/L23-1</f>
        <v/>
      </c>
      <c r="O23" s="7" t="inlineStr">
        <is>
          <t>ACIMA +8.5% (vs últ. compra)</t>
        </is>
      </c>
      <c r="P23" s="2" t="inlineStr"/>
    </row>
    <row r="24">
      <c r="A24" s="2" t="inlineStr"/>
      <c r="B24" s="2" t="n">
        <v>6561</v>
      </c>
      <c r="C24" s="2" t="inlineStr">
        <is>
          <t>7894916502900</t>
        </is>
      </c>
      <c r="D24" s="2" t="inlineStr"/>
      <c r="E24" s="2" t="inlineStr">
        <is>
          <t>CONTRACEP SUS INJ 1 FA X 1ML</t>
        </is>
      </c>
      <c r="F24" s="3" t="n">
        <v>1</v>
      </c>
      <c r="G24" s="3" t="n">
        <v>8</v>
      </c>
      <c r="H24" s="3" t="n">
        <v>8</v>
      </c>
      <c r="I24" s="4" t="n">
        <v>23.94</v>
      </c>
      <c r="J24" s="4">
        <f>G24*I24</f>
        <v/>
      </c>
      <c r="K24" s="4" t="n">
        <v>23.94</v>
      </c>
      <c r="L24" s="4" t="n">
        <v>23.69</v>
      </c>
      <c r="M24" s="4" t="n">
        <v>22.9</v>
      </c>
      <c r="N24" s="5">
        <f>K24/L24-1</f>
        <v/>
      </c>
      <c r="O24" s="7" t="inlineStr">
        <is>
          <t>ACIMA +1.1% (vs últ. compra)</t>
        </is>
      </c>
      <c r="P24" s="2" t="inlineStr"/>
    </row>
    <row r="25">
      <c r="A25" s="2" t="inlineStr"/>
      <c r="B25" s="2" t="n">
        <v>90721</v>
      </c>
      <c r="C25" s="2" t="inlineStr">
        <is>
          <t>7891317137557</t>
        </is>
      </c>
      <c r="D25" s="2" t="inlineStr"/>
      <c r="E25" s="2" t="inlineStr">
        <is>
          <t>COQUES 200MG CX 10 CAP</t>
        </is>
      </c>
      <c r="F25" s="3" t="n">
        <v>1</v>
      </c>
      <c r="G25" s="3" t="n">
        <v>1</v>
      </c>
      <c r="H25" s="3" t="n">
        <v>1</v>
      </c>
      <c r="I25" s="4" t="n">
        <v>33.84</v>
      </c>
      <c r="J25" s="4">
        <f>G25*I25</f>
        <v/>
      </c>
      <c r="K25" s="4" t="n">
        <v>33.84</v>
      </c>
      <c r="L25" s="4" t="n">
        <v>34.79</v>
      </c>
      <c r="M25" s="4" t="n">
        <v>30.618</v>
      </c>
      <c r="N25" s="5">
        <f>K25/L25-1</f>
        <v/>
      </c>
      <c r="O25" s="6" t="inlineStr">
        <is>
          <t>OK (≤ últ. compra)</t>
        </is>
      </c>
      <c r="P25" s="2" t="inlineStr"/>
    </row>
    <row r="26">
      <c r="A26" s="2" t="inlineStr"/>
      <c r="B26" s="2" t="n">
        <v>463461</v>
      </c>
      <c r="C26" s="2" t="inlineStr">
        <is>
          <t>7891317136468</t>
        </is>
      </c>
      <c r="D26" s="2" t="inlineStr"/>
      <c r="E26" s="2" t="inlineStr">
        <is>
          <t>CREVAGIN 30+20MG CREM VAG BG X 40G +7APLIC</t>
        </is>
      </c>
      <c r="F26" s="3" t="n">
        <v>1</v>
      </c>
      <c r="G26" s="3" t="n">
        <v>3</v>
      </c>
      <c r="H26" s="3" t="n">
        <v>3</v>
      </c>
      <c r="I26" s="4" t="n">
        <v>38.8</v>
      </c>
      <c r="J26" s="4">
        <f>G26*I26</f>
        <v/>
      </c>
      <c r="K26" s="4" t="n">
        <v>38.8</v>
      </c>
      <c r="L26" s="4" t="n">
        <v>38.8</v>
      </c>
      <c r="M26" s="4" t="n">
        <v>35.79</v>
      </c>
      <c r="N26" s="5">
        <f>K26/L26-1</f>
        <v/>
      </c>
      <c r="O26" s="6" t="inlineStr">
        <is>
          <t>OK (≤ últ. compra)</t>
        </is>
      </c>
      <c r="P26" s="2" t="inlineStr"/>
    </row>
    <row r="27">
      <c r="A27" s="2" t="inlineStr"/>
      <c r="B27" s="2" t="n">
        <v>550781</v>
      </c>
      <c r="C27" s="2" t="inlineStr">
        <is>
          <t>7896658027208</t>
        </is>
      </c>
      <c r="D27" s="2" t="inlineStr"/>
      <c r="E27" s="2" t="inlineStr">
        <is>
          <t>DAYVIT KIDS FR 120ML</t>
        </is>
      </c>
      <c r="F27" s="3" t="n">
        <v>1</v>
      </c>
      <c r="G27" s="3" t="n">
        <v>1</v>
      </c>
      <c r="H27" s="3" t="n">
        <v>1</v>
      </c>
      <c r="I27" s="4" t="n">
        <v>48.35</v>
      </c>
      <c r="J27" s="4">
        <f>G27*I27</f>
        <v/>
      </c>
      <c r="K27" s="4" t="n">
        <v>48.35</v>
      </c>
      <c r="L27" s="4" t="n">
        <v>46.473</v>
      </c>
      <c r="M27" s="4" t="n">
        <v>43.84</v>
      </c>
      <c r="N27" s="5">
        <f>K27/L27-1</f>
        <v/>
      </c>
      <c r="O27" s="7" t="inlineStr">
        <is>
          <t>ACIMA +4.0% (vs últ. compra)</t>
        </is>
      </c>
      <c r="P27" s="2" t="inlineStr"/>
    </row>
    <row r="28">
      <c r="A28" s="2" t="inlineStr"/>
      <c r="B28" s="2" t="n">
        <v>207061</v>
      </c>
      <c r="C28" s="2" t="inlineStr">
        <is>
          <t>7896658003516</t>
        </is>
      </c>
      <c r="D28" s="2" t="inlineStr"/>
      <c r="E28" s="2" t="inlineStr">
        <is>
          <t>DECADRON 0,5MG FR 20 COMP</t>
        </is>
      </c>
      <c r="F28" s="3" t="n">
        <v>1</v>
      </c>
      <c r="G28" s="3" t="n">
        <v>3</v>
      </c>
      <c r="H28" s="3" t="n">
        <v>3</v>
      </c>
      <c r="I28" s="4" t="n">
        <v>8.869999999999999</v>
      </c>
      <c r="J28" s="4">
        <f>G28*I28</f>
        <v/>
      </c>
      <c r="K28" s="4" t="n">
        <v>8.869999999999999</v>
      </c>
      <c r="L28" s="4" t="n">
        <v>8.869999999999999</v>
      </c>
      <c r="M28" s="4" t="n">
        <v>8.470000000000001</v>
      </c>
      <c r="N28" s="5">
        <f>K28/L28-1</f>
        <v/>
      </c>
      <c r="O28" s="6" t="inlineStr">
        <is>
          <t>OK (≤ últ. compra)</t>
        </is>
      </c>
      <c r="P28" s="2" t="inlineStr"/>
    </row>
    <row r="29">
      <c r="A29" s="2" t="inlineStr"/>
      <c r="B29" s="2" t="n">
        <v>254781</v>
      </c>
      <c r="C29" s="2" t="inlineStr">
        <is>
          <t>7896658003189</t>
        </is>
      </c>
      <c r="D29" s="2" t="inlineStr"/>
      <c r="E29" s="2" t="inlineStr">
        <is>
          <t>DECADRON 4MG INJ CX FA X 2,5ML</t>
        </is>
      </c>
      <c r="F29" s="3" t="n">
        <v>1</v>
      </c>
      <c r="G29" s="3" t="n">
        <v>4</v>
      </c>
      <c r="H29" s="3" t="n">
        <v>4</v>
      </c>
      <c r="I29" s="4" t="n">
        <v>16.26</v>
      </c>
      <c r="J29" s="4">
        <f>G29*I29</f>
        <v/>
      </c>
      <c r="K29" s="4" t="n">
        <v>16.26</v>
      </c>
      <c r="L29" s="4" t="n">
        <v>16.7192307692308</v>
      </c>
      <c r="M29" s="4" t="n">
        <v>15.3067</v>
      </c>
      <c r="N29" s="5">
        <f>K29/L29-1</f>
        <v/>
      </c>
      <c r="O29" s="6" t="inlineStr">
        <is>
          <t>OK (≤ últ. compra)</t>
        </is>
      </c>
      <c r="P29" s="2" t="inlineStr"/>
    </row>
    <row r="30">
      <c r="A30" s="2" t="inlineStr"/>
      <c r="B30" s="2" t="n">
        <v>329701</v>
      </c>
      <c r="C30" s="2" t="inlineStr">
        <is>
          <t>7896658001925</t>
        </is>
      </c>
      <c r="D30" s="2" t="inlineStr"/>
      <c r="E30" s="2" t="inlineStr">
        <is>
          <t>DECONGEX PLUS 2+2,5MG SOL FR GTS 20ML</t>
        </is>
      </c>
      <c r="F30" s="3" t="n">
        <v>1</v>
      </c>
      <c r="G30" s="3" t="n">
        <v>4</v>
      </c>
      <c r="H30" s="3" t="n">
        <v>4</v>
      </c>
      <c r="I30" s="4" t="n">
        <v>13.6</v>
      </c>
      <c r="J30" s="4">
        <f>G30*I30</f>
        <v/>
      </c>
      <c r="K30" s="4" t="n">
        <v>13.6</v>
      </c>
      <c r="L30" s="4" t="n">
        <v>11.2788888888889</v>
      </c>
      <c r="M30" s="4" t="n">
        <v>10.9725</v>
      </c>
      <c r="N30" s="5">
        <f>K30/L30-1</f>
        <v/>
      </c>
      <c r="O30" s="7" t="inlineStr">
        <is>
          <t>ACIMA +20.6% (vs últ. compra)</t>
        </is>
      </c>
      <c r="P30" s="2" t="inlineStr"/>
    </row>
    <row r="31">
      <c r="A31" s="2" t="inlineStr"/>
      <c r="B31" s="2" t="n">
        <v>4621</v>
      </c>
      <c r="C31" s="2" t="inlineStr">
        <is>
          <t>7891721010026</t>
        </is>
      </c>
      <c r="D31" s="2" t="inlineStr"/>
      <c r="E31" s="2" t="inlineStr">
        <is>
          <t>DICLIN 2+0,035MG CX 21 COMP REV</t>
        </is>
      </c>
      <c r="F31" s="3" t="n">
        <v>1</v>
      </c>
      <c r="G31" s="3" t="n">
        <v>4</v>
      </c>
      <c r="H31" s="3" t="n">
        <v>4</v>
      </c>
      <c r="I31" s="4" t="n">
        <v>18.12</v>
      </c>
      <c r="J31" s="4">
        <f>G31*I31</f>
        <v/>
      </c>
      <c r="K31" s="4" t="n">
        <v>18.12</v>
      </c>
      <c r="L31" s="4" t="n">
        <v>18.035</v>
      </c>
      <c r="M31" s="4" t="n">
        <v>16.73</v>
      </c>
      <c r="N31" s="5">
        <f>K31/L31-1</f>
        <v/>
      </c>
      <c r="O31" s="7" t="inlineStr">
        <is>
          <t>ACIMA +0.5% (vs últ. compra)</t>
        </is>
      </c>
      <c r="P31" s="2" t="inlineStr"/>
    </row>
    <row r="32">
      <c r="A32" s="2" t="inlineStr"/>
      <c r="B32" s="2" t="n">
        <v>283461</v>
      </c>
      <c r="C32" s="2" t="inlineStr">
        <is>
          <t>7896658006043</t>
        </is>
      </c>
      <c r="D32" s="2" t="inlineStr"/>
      <c r="E32" s="2" t="inlineStr">
        <is>
          <t>DIOSMIN 450+50MG CX 30 COMP REV</t>
        </is>
      </c>
      <c r="F32" s="3" t="n">
        <v>1</v>
      </c>
      <c r="G32" s="3" t="n">
        <v>2</v>
      </c>
      <c r="H32" s="3" t="n">
        <v>2</v>
      </c>
      <c r="I32" s="4" t="n">
        <v>51.42</v>
      </c>
      <c r="J32" s="4">
        <f>G32*I32</f>
        <v/>
      </c>
      <c r="K32" s="4" t="n">
        <v>51.42</v>
      </c>
      <c r="L32" s="4" t="n">
        <v>54</v>
      </c>
      <c r="M32" s="4" t="n">
        <v>48.18</v>
      </c>
      <c r="N32" s="5">
        <f>K32/L32-1</f>
        <v/>
      </c>
      <c r="O32" s="6" t="inlineStr">
        <is>
          <t>OK (≤ últ. compra)</t>
        </is>
      </c>
      <c r="P32" s="2" t="inlineStr"/>
    </row>
    <row r="33">
      <c r="A33" s="2" t="inlineStr"/>
      <c r="B33" s="2" t="n">
        <v>390161</v>
      </c>
      <c r="C33" s="2" t="inlineStr">
        <is>
          <t>7896658027604</t>
        </is>
      </c>
      <c r="D33" s="2" t="inlineStr"/>
      <c r="E33" s="2" t="inlineStr">
        <is>
          <t>DIVENA 40MG CX 30 COMP</t>
        </is>
      </c>
      <c r="F33" s="3" t="n">
        <v>1</v>
      </c>
      <c r="G33" s="3" t="n">
        <v>6</v>
      </c>
      <c r="H33" s="3" t="n">
        <v>6</v>
      </c>
      <c r="I33" s="4" t="n">
        <v>53.93</v>
      </c>
      <c r="J33" s="4">
        <f>G33*I33</f>
        <v/>
      </c>
      <c r="K33" s="4" t="n">
        <v>53.93</v>
      </c>
      <c r="L33" s="4" t="n">
        <v>40.0891666666667</v>
      </c>
      <c r="M33" s="4" t="n">
        <v>40.0891666666667</v>
      </c>
      <c r="N33" s="5">
        <f>K33/L33-1</f>
        <v/>
      </c>
      <c r="O33" s="7" t="inlineStr">
        <is>
          <t>ACIMA +34.5% (vs últ. compra)</t>
        </is>
      </c>
      <c r="P33" s="2" t="inlineStr"/>
    </row>
    <row r="34">
      <c r="A34" s="2" t="inlineStr"/>
      <c r="B34" s="2" t="n">
        <v>254421</v>
      </c>
      <c r="C34" s="2" t="inlineStr">
        <is>
          <t>7896676410198</t>
        </is>
      </c>
      <c r="D34" s="2" t="inlineStr"/>
      <c r="E34" s="2" t="inlineStr">
        <is>
          <t>DUOFLAM 6,43+2,63MG CX 1AMPX1ML+SER</t>
        </is>
      </c>
      <c r="F34" s="3" t="n">
        <v>1</v>
      </c>
      <c r="G34" s="3" t="n">
        <v>1</v>
      </c>
      <c r="H34" s="3" t="n">
        <v>1</v>
      </c>
      <c r="I34" s="4" t="n">
        <v>24.13</v>
      </c>
      <c r="J34" s="4">
        <f>G34*I34</f>
        <v/>
      </c>
      <c r="K34" s="4" t="n">
        <v>24.13</v>
      </c>
      <c r="L34" s="4" t="n">
        <v>23.475</v>
      </c>
      <c r="M34" s="4" t="n">
        <v>21.985</v>
      </c>
      <c r="N34" s="5">
        <f>K34/L34-1</f>
        <v/>
      </c>
      <c r="O34" s="7" t="inlineStr">
        <is>
          <t>ACIMA +2.8% (vs últ. compra)</t>
        </is>
      </c>
      <c r="P34" s="2" t="inlineStr"/>
    </row>
    <row r="35">
      <c r="A35" s="2" t="inlineStr"/>
      <c r="B35" s="2" t="n">
        <v>83081</v>
      </c>
      <c r="C35" s="2" t="inlineStr">
        <is>
          <t>7896676433050</t>
        </is>
      </c>
      <c r="D35" s="2" t="inlineStr"/>
      <c r="E35" s="2" t="inlineStr">
        <is>
          <t>ECOFILM 5MG SOL OFT FR GTS 5ML</t>
        </is>
      </c>
      <c r="F35" s="3" t="n">
        <v>1</v>
      </c>
      <c r="G35" s="3" t="n">
        <v>4</v>
      </c>
      <c r="H35" s="3" t="n">
        <v>4</v>
      </c>
      <c r="I35" s="4" t="n">
        <v>15.94</v>
      </c>
      <c r="J35" s="4">
        <f>G35*I35</f>
        <v/>
      </c>
      <c r="K35" s="4" t="n">
        <v>15.94</v>
      </c>
      <c r="L35" s="4" t="n">
        <v>15.94</v>
      </c>
      <c r="M35" s="4" t="n">
        <v>14.765</v>
      </c>
      <c r="N35" s="5">
        <f>K35/L35-1</f>
        <v/>
      </c>
      <c r="O35" s="6" t="inlineStr">
        <is>
          <t>OK (≤ últ. compra)</t>
        </is>
      </c>
      <c r="P35" s="2" t="inlineStr"/>
    </row>
    <row r="36">
      <c r="A36" s="2" t="inlineStr"/>
      <c r="B36" s="2" t="n">
        <v>15</v>
      </c>
      <c r="C36" s="2" t="inlineStr">
        <is>
          <t>7896094903272</t>
        </is>
      </c>
      <c r="D36" s="2" t="inlineStr"/>
      <c r="E36" s="2" t="inlineStr">
        <is>
          <t>EPOCLER SOL ORAL FLACONETE CAIXA C/ 12</t>
        </is>
      </c>
      <c r="F36" s="3" t="n">
        <v>1</v>
      </c>
      <c r="G36" s="3" t="n">
        <v>100</v>
      </c>
      <c r="H36" s="3" t="n">
        <v>100</v>
      </c>
      <c r="I36" s="4" t="n">
        <v>35.68</v>
      </c>
      <c r="J36" s="4">
        <f>G36*I36</f>
        <v/>
      </c>
      <c r="K36" s="4" t="n">
        <v>35.68</v>
      </c>
      <c r="L36" s="4" t="n"/>
      <c r="M36" s="4" t="n"/>
      <c r="N36" s="5" t="n"/>
      <c r="O36" s="2" t="inlineStr">
        <is>
          <t>SEM HISTÓRICO</t>
        </is>
      </c>
      <c r="P36" s="2" t="inlineStr"/>
    </row>
    <row r="37">
      <c r="A37" s="2" t="inlineStr"/>
      <c r="B37" s="2" t="n">
        <v>355201</v>
      </c>
      <c r="C37" s="2" t="inlineStr">
        <is>
          <t>7891106908313</t>
        </is>
      </c>
      <c r="D37" s="2" t="inlineStr"/>
      <c r="E37" s="2" t="inlineStr">
        <is>
          <t>FLANAX 550 MG COM 2CP(CARTELA)</t>
        </is>
      </c>
      <c r="F37" s="3" t="n">
        <v>1</v>
      </c>
      <c r="G37" s="3" t="n">
        <v>6</v>
      </c>
      <c r="H37" s="3" t="n">
        <v>6</v>
      </c>
      <c r="I37" s="4" t="n">
        <v>56.02</v>
      </c>
      <c r="J37" s="4">
        <f>G37*I37</f>
        <v/>
      </c>
      <c r="K37" s="4" t="n">
        <v>56.02</v>
      </c>
      <c r="L37" s="4" t="n">
        <v>4.42</v>
      </c>
      <c r="M37" s="4" t="n">
        <v>4.42</v>
      </c>
      <c r="N37" s="5">
        <f>K37/L37-1</f>
        <v/>
      </c>
      <c r="O37" s="7" t="inlineStr">
        <is>
          <t>ACIMA +1167.4% (vs últ. compra)</t>
        </is>
      </c>
      <c r="P37" s="2" t="inlineStr"/>
    </row>
    <row r="38">
      <c r="A38" s="2" t="inlineStr"/>
      <c r="B38" s="2" t="n">
        <v>582241</v>
      </c>
      <c r="C38" s="2" t="inlineStr">
        <is>
          <t>7896637031943</t>
        </is>
      </c>
      <c r="D38" s="2" t="inlineStr"/>
      <c r="E38" s="2" t="inlineStr">
        <is>
          <t>FLANCOX 600MG CX 14 REV OR</t>
        </is>
      </c>
      <c r="F38" s="3" t="n">
        <v>1</v>
      </c>
      <c r="G38" s="3" t="n">
        <v>13</v>
      </c>
      <c r="H38" s="3" t="n">
        <v>13</v>
      </c>
      <c r="I38" s="4" t="n">
        <v>47.24</v>
      </c>
      <c r="J38" s="4">
        <f>G38*I38</f>
        <v/>
      </c>
      <c r="K38" s="4" t="n">
        <v>47.24</v>
      </c>
      <c r="L38" s="4" t="n">
        <v>47.24</v>
      </c>
      <c r="M38" s="4" t="n">
        <v>43.5075</v>
      </c>
      <c r="N38" s="5">
        <f>K38/L38-1</f>
        <v/>
      </c>
      <c r="O38" s="6" t="inlineStr">
        <is>
          <t>OK (≤ últ. compra)</t>
        </is>
      </c>
      <c r="P38" s="2" t="inlineStr"/>
    </row>
    <row r="39">
      <c r="A39" s="2" t="inlineStr"/>
      <c r="B39" s="2" t="n">
        <v>127401</v>
      </c>
      <c r="C39" s="2" t="inlineStr">
        <is>
          <t>7896658005336</t>
        </is>
      </c>
      <c r="D39" s="2" t="inlineStr"/>
      <c r="E39" s="2" t="inlineStr">
        <is>
          <t>FLOGO-ROSA 53,2MG/G PO 10ENV X 9,4G</t>
        </is>
      </c>
      <c r="F39" s="3" t="n">
        <v>1</v>
      </c>
      <c r="G39" s="3" t="n">
        <v>1</v>
      </c>
      <c r="H39" s="3" t="n">
        <v>1</v>
      </c>
      <c r="I39" s="4" t="n">
        <v>40.32</v>
      </c>
      <c r="J39" s="4">
        <f>G39*I39</f>
        <v/>
      </c>
      <c r="K39" s="4" t="n">
        <v>40.32</v>
      </c>
      <c r="L39" s="4" t="n">
        <v>40.32</v>
      </c>
      <c r="M39" s="4" t="n">
        <v>32.1675</v>
      </c>
      <c r="N39" s="5">
        <f>K39/L39-1</f>
        <v/>
      </c>
      <c r="O39" s="6" t="inlineStr">
        <is>
          <t>OK (≤ últ. compra)</t>
        </is>
      </c>
      <c r="P39" s="2" t="inlineStr"/>
    </row>
    <row r="40">
      <c r="A40" s="2" t="inlineStr"/>
      <c r="B40" s="2" t="n">
        <v>127501</v>
      </c>
      <c r="C40" s="2" t="inlineStr">
        <is>
          <t>7896658005305</t>
        </is>
      </c>
      <c r="D40" s="2" t="inlineStr"/>
      <c r="E40" s="2" t="inlineStr">
        <is>
          <t>FLOGORAL COLUT NEB FR 30ML SB MENTA</t>
        </is>
      </c>
      <c r="F40" s="3" t="n">
        <v>1</v>
      </c>
      <c r="G40" s="3" t="n">
        <v>2</v>
      </c>
      <c r="H40" s="3" t="n">
        <v>2</v>
      </c>
      <c r="I40" s="4" t="n">
        <v>30.36</v>
      </c>
      <c r="J40" s="4">
        <f>G40*I40</f>
        <v/>
      </c>
      <c r="K40" s="4" t="n">
        <v>30.36</v>
      </c>
      <c r="L40" s="4" t="n">
        <v>31.89</v>
      </c>
      <c r="M40" s="4" t="n">
        <v>24.8717</v>
      </c>
      <c r="N40" s="5">
        <f>K40/L40-1</f>
        <v/>
      </c>
      <c r="O40" s="6" t="inlineStr">
        <is>
          <t>OK (≤ últ. compra)</t>
        </is>
      </c>
      <c r="P40" s="2" t="inlineStr"/>
    </row>
    <row r="41">
      <c r="A41" s="2" t="inlineStr"/>
      <c r="B41" s="2" t="n">
        <v>589581</v>
      </c>
      <c r="C41" s="2" t="inlineStr">
        <is>
          <t>7898040329655</t>
        </is>
      </c>
      <c r="D41" s="2" t="inlineStr"/>
      <c r="E41" s="2" t="inlineStr">
        <is>
          <t>FLORATIL 200MG CX 6 CAP</t>
        </is>
      </c>
      <c r="F41" s="3" t="n">
        <v>1</v>
      </c>
      <c r="G41" s="3" t="n">
        <v>5</v>
      </c>
      <c r="H41" s="3" t="n">
        <v>5</v>
      </c>
      <c r="I41" s="4" t="n">
        <v>36.79</v>
      </c>
      <c r="J41" s="4">
        <f>G41*I41</f>
        <v/>
      </c>
      <c r="K41" s="4" t="n">
        <v>36.79</v>
      </c>
      <c r="L41" s="4" t="n">
        <v>37.185</v>
      </c>
      <c r="M41" s="4" t="n">
        <v>27.3967</v>
      </c>
      <c r="N41" s="5">
        <f>K41/L41-1</f>
        <v/>
      </c>
      <c r="O41" s="6" t="inlineStr">
        <is>
          <t>OK (≤ últ. compra)</t>
        </is>
      </c>
      <c r="P41" s="2" t="inlineStr"/>
    </row>
    <row r="42">
      <c r="A42" s="2" t="inlineStr"/>
      <c r="B42" s="2" t="n">
        <v>5981</v>
      </c>
      <c r="C42" s="2" t="inlineStr">
        <is>
          <t>7896676432916</t>
        </is>
      </c>
      <c r="D42" s="2" t="inlineStr"/>
      <c r="E42" s="2" t="inlineStr">
        <is>
          <t>FLUTINOL 1MG/ML SUS OFT FR 5ML</t>
        </is>
      </c>
      <c r="F42" s="3" t="n">
        <v>1</v>
      </c>
      <c r="G42" s="3" t="n">
        <v>2</v>
      </c>
      <c r="H42" s="3" t="n">
        <v>2</v>
      </c>
      <c r="I42" s="4" t="n">
        <v>32.37</v>
      </c>
      <c r="J42" s="4">
        <f>G42*I42</f>
        <v/>
      </c>
      <c r="K42" s="4" t="n">
        <v>32.37</v>
      </c>
      <c r="L42" s="4" t="n">
        <v>34</v>
      </c>
      <c r="M42" s="4" t="n">
        <v>26.33</v>
      </c>
      <c r="N42" s="5">
        <f>K42/L42-1</f>
        <v/>
      </c>
      <c r="O42" s="6" t="inlineStr">
        <is>
          <t>OK (≤ últ. compra)</t>
        </is>
      </c>
      <c r="P42" s="2" t="inlineStr"/>
    </row>
    <row r="43">
      <c r="A43" s="2" t="inlineStr"/>
      <c r="B43" s="2" t="n">
        <v>636341</v>
      </c>
      <c r="C43" s="2" t="inlineStr">
        <is>
          <t>7891317023331</t>
        </is>
      </c>
      <c r="D43" s="2" t="inlineStr"/>
      <c r="E43" s="2" t="inlineStr">
        <is>
          <t>FORFIG 200MG CX 20 CAP</t>
        </is>
      </c>
      <c r="F43" s="3" t="n">
        <v>1</v>
      </c>
      <c r="G43" s="3" t="n">
        <v>1</v>
      </c>
      <c r="H43" s="3" t="n">
        <v>1</v>
      </c>
      <c r="I43" s="4" t="n">
        <v>112.26</v>
      </c>
      <c r="J43" s="4">
        <f>G43*I43</f>
        <v/>
      </c>
      <c r="K43" s="4" t="n">
        <v>112.26</v>
      </c>
      <c r="L43" s="4" t="n">
        <v>115.42</v>
      </c>
      <c r="M43" s="4" t="n">
        <v>102.85</v>
      </c>
      <c r="N43" s="5">
        <f>K43/L43-1</f>
        <v/>
      </c>
      <c r="O43" s="6" t="inlineStr">
        <is>
          <t>OK (≤ últ. compra)</t>
        </is>
      </c>
      <c r="P43" s="2" t="inlineStr"/>
    </row>
    <row r="44">
      <c r="A44" s="2" t="inlineStr"/>
      <c r="B44" s="2" t="n">
        <v>554541</v>
      </c>
      <c r="C44" s="2" t="inlineStr">
        <is>
          <t>7908134200040</t>
        </is>
      </c>
      <c r="D44" s="2" t="inlineStr"/>
      <c r="E44" s="2" t="inlineStr">
        <is>
          <t>GYNOTRAN 750+200MG OVULO 1 STRIP X 7+14 DEDEIRAS</t>
        </is>
      </c>
      <c r="F44" s="3" t="n">
        <v>1</v>
      </c>
      <c r="G44" s="3" t="n">
        <v>2</v>
      </c>
      <c r="H44" s="3" t="n">
        <v>2</v>
      </c>
      <c r="I44" s="4" t="n">
        <v>90.3</v>
      </c>
      <c r="J44" s="4">
        <f>G44*I44</f>
        <v/>
      </c>
      <c r="K44" s="4" t="n">
        <v>90.3</v>
      </c>
      <c r="L44" s="4" t="n">
        <v>90.84</v>
      </c>
      <c r="M44" s="4" t="n">
        <v>84.2</v>
      </c>
      <c r="N44" s="5">
        <f>K44/L44-1</f>
        <v/>
      </c>
      <c r="O44" s="6" t="inlineStr">
        <is>
          <t>OK (≤ últ. compra)</t>
        </is>
      </c>
      <c r="P44" s="2" t="inlineStr"/>
    </row>
    <row r="45">
      <c r="A45" s="2" t="inlineStr"/>
      <c r="B45" s="2" t="n">
        <v>556341</v>
      </c>
      <c r="C45" s="2" t="inlineStr">
        <is>
          <t>7891317015060</t>
        </is>
      </c>
      <c r="D45" s="2" t="inlineStr"/>
      <c r="E45" s="2" t="inlineStr">
        <is>
          <t>KOIDE D 0,25MG/5ML+2 MG/5ML XPE FR 120ML+CP MED</t>
        </is>
      </c>
      <c r="F45" s="3" t="n">
        <v>1</v>
      </c>
      <c r="G45" s="3" t="n">
        <v>2</v>
      </c>
      <c r="H45" s="3" t="n">
        <v>2</v>
      </c>
      <c r="I45" s="4" t="n">
        <v>38.1</v>
      </c>
      <c r="J45" s="4">
        <f>G45*I45</f>
        <v/>
      </c>
      <c r="K45" s="4" t="n">
        <v>38.1</v>
      </c>
      <c r="L45" s="4" t="n">
        <v>38.1</v>
      </c>
      <c r="M45" s="4" t="n">
        <v>35.6038</v>
      </c>
      <c r="N45" s="5">
        <f>K45/L45-1</f>
        <v/>
      </c>
      <c r="O45" s="6" t="inlineStr">
        <is>
          <t>OK (≤ últ. compra)</t>
        </is>
      </c>
      <c r="P45" s="2" t="inlineStr"/>
    </row>
    <row r="46">
      <c r="A46" s="2" t="inlineStr"/>
      <c r="B46" s="2" t="n">
        <v>190241</v>
      </c>
      <c r="C46" s="2" t="inlineStr">
        <is>
          <t>7896676427745</t>
        </is>
      </c>
      <c r="D46" s="2" t="inlineStr"/>
      <c r="E46" s="2" t="inlineStr">
        <is>
          <t>KOLLAGENASE 0,6U/G POM DERM BG 30G+ESP</t>
        </is>
      </c>
      <c r="F46" s="3" t="n">
        <v>1</v>
      </c>
      <c r="G46" s="3" t="n">
        <v>2</v>
      </c>
      <c r="H46" s="3" t="n">
        <v>2</v>
      </c>
      <c r="I46" s="4" t="n">
        <v>54.36</v>
      </c>
      <c r="J46" s="4">
        <f>G46*I46</f>
        <v/>
      </c>
      <c r="K46" s="4" t="n">
        <v>54.36</v>
      </c>
      <c r="L46" s="4" t="n">
        <v>54.35</v>
      </c>
      <c r="M46" s="4" t="n">
        <v>49.1033</v>
      </c>
      <c r="N46" s="5">
        <f>K46/L46-1</f>
        <v/>
      </c>
      <c r="O46" s="7" t="inlineStr">
        <is>
          <t>ACIMA +0.0% (vs últ. compra)</t>
        </is>
      </c>
      <c r="P46" s="2" t="inlineStr"/>
    </row>
    <row r="47">
      <c r="A47" s="2" t="inlineStr"/>
      <c r="B47" s="2" t="n">
        <v>114101</v>
      </c>
      <c r="C47" s="2" t="inlineStr">
        <is>
          <t>7896676427844</t>
        </is>
      </c>
      <c r="D47" s="2" t="inlineStr"/>
      <c r="E47" s="2" t="inlineStr">
        <is>
          <t>KOLLAGENASE+CLORANFENICOL 0,6U/G+0,01G/G POM DERM BG 15G+ESP</t>
        </is>
      </c>
      <c r="F47" s="3" t="n">
        <v>1</v>
      </c>
      <c r="G47" s="3" t="n">
        <v>7</v>
      </c>
      <c r="H47" s="3" t="n">
        <v>7</v>
      </c>
      <c r="I47" s="4" t="n">
        <v>27.55</v>
      </c>
      <c r="J47" s="4">
        <f>G47*I47</f>
        <v/>
      </c>
      <c r="K47" s="4" t="n">
        <v>27.55</v>
      </c>
      <c r="L47" s="4" t="n">
        <v>29.24</v>
      </c>
      <c r="M47" s="4" t="n">
        <v>25.52</v>
      </c>
      <c r="N47" s="5">
        <f>K47/L47-1</f>
        <v/>
      </c>
      <c r="O47" s="6" t="inlineStr">
        <is>
          <t>OK (≤ últ. compra)</t>
        </is>
      </c>
      <c r="P47" s="2" t="inlineStr"/>
    </row>
    <row r="48">
      <c r="A48" s="2" t="inlineStr"/>
      <c r="B48" s="2" t="n">
        <v>208201</v>
      </c>
      <c r="C48" s="2" t="inlineStr">
        <is>
          <t>7896676432855</t>
        </is>
      </c>
      <c r="D48" s="2" t="inlineStr"/>
      <c r="E48" s="2" t="inlineStr">
        <is>
          <t>LACRIBELL 1+3MG SOL OFT FR 15ML</t>
        </is>
      </c>
      <c r="F48" s="3" t="n">
        <v>1</v>
      </c>
      <c r="G48" s="3" t="n">
        <v>2</v>
      </c>
      <c r="H48" s="3" t="n">
        <v>2</v>
      </c>
      <c r="I48" s="4" t="n">
        <v>18.59</v>
      </c>
      <c r="J48" s="4">
        <f>G48*I48</f>
        <v/>
      </c>
      <c r="K48" s="4" t="n">
        <v>18.59</v>
      </c>
      <c r="L48" s="4" t="n">
        <v>19.53</v>
      </c>
      <c r="M48" s="4" t="n">
        <v>17.415</v>
      </c>
      <c r="N48" s="5">
        <f>K48/L48-1</f>
        <v/>
      </c>
      <c r="O48" s="6" t="inlineStr">
        <is>
          <t>OK (≤ últ. compra)</t>
        </is>
      </c>
      <c r="P48" s="2" t="inlineStr"/>
    </row>
    <row r="49">
      <c r="A49" s="2" t="inlineStr"/>
      <c r="B49" s="2" t="n">
        <v>434101</v>
      </c>
      <c r="C49" s="2" t="inlineStr">
        <is>
          <t>7898560664373</t>
        </is>
      </c>
      <c r="D49" s="2" t="inlineStr"/>
      <c r="E49" s="2" t="inlineStr">
        <is>
          <t>LEGALON 64MG/5ML SUS OR FR 100ML</t>
        </is>
      </c>
      <c r="F49" s="3" t="n">
        <v>1</v>
      </c>
      <c r="G49" s="3" t="n">
        <v>1</v>
      </c>
      <c r="H49" s="3" t="n">
        <v>1</v>
      </c>
      <c r="I49" s="4" t="n">
        <v>78.62</v>
      </c>
      <c r="J49" s="4">
        <f>G49*I49</f>
        <v/>
      </c>
      <c r="K49" s="4" t="n">
        <v>78.62</v>
      </c>
      <c r="L49" s="4" t="n">
        <v>78.62</v>
      </c>
      <c r="M49" s="4" t="n">
        <v>74.58</v>
      </c>
      <c r="N49" s="5">
        <f>K49/L49-1</f>
        <v/>
      </c>
      <c r="O49" s="6" t="inlineStr">
        <is>
          <t>OK (≤ últ. compra)</t>
        </is>
      </c>
      <c r="P49" s="2" t="inlineStr"/>
    </row>
    <row r="50">
      <c r="A50" s="2" t="inlineStr"/>
      <c r="B50" s="2" t="n">
        <v>320301</v>
      </c>
      <c r="C50" s="2" t="inlineStr">
        <is>
          <t>7896658008788</t>
        </is>
      </c>
      <c r="D50" s="2" t="inlineStr"/>
      <c r="E50" s="2" t="inlineStr">
        <is>
          <t>LEVOID 75MCG CX 30 COMP</t>
        </is>
      </c>
      <c r="F50" s="3" t="n">
        <v>1</v>
      </c>
      <c r="G50" s="3" t="n">
        <v>1</v>
      </c>
      <c r="H50" s="3" t="n">
        <v>1</v>
      </c>
      <c r="I50" s="4" t="n">
        <v>15.17</v>
      </c>
      <c r="J50" s="4">
        <f>G50*I50</f>
        <v/>
      </c>
      <c r="K50" s="4" t="n">
        <v>15.17</v>
      </c>
      <c r="L50" s="4" t="n">
        <v>15.01</v>
      </c>
      <c r="M50" s="4" t="n">
        <v>14.05</v>
      </c>
      <c r="N50" s="5">
        <f>K50/L50-1</f>
        <v/>
      </c>
      <c r="O50" s="7" t="inlineStr">
        <is>
          <t>ACIMA +1.1% (vs últ. compra)</t>
        </is>
      </c>
      <c r="P50" s="2" t="inlineStr"/>
    </row>
    <row r="51">
      <c r="A51" s="2" t="inlineStr"/>
      <c r="B51" s="2" t="n">
        <v>337721</v>
      </c>
      <c r="C51" s="2" t="inlineStr">
        <is>
          <t>7896637023115</t>
        </is>
      </c>
      <c r="D51" s="2" t="inlineStr"/>
      <c r="E51" s="2" t="inlineStr">
        <is>
          <t>MECLIN 25MG CX 15 COMP</t>
        </is>
      </c>
      <c r="F51" s="3" t="n">
        <v>1</v>
      </c>
      <c r="G51" s="3" t="n">
        <v>9</v>
      </c>
      <c r="H51" s="3" t="n">
        <v>9</v>
      </c>
      <c r="I51" s="4" t="n">
        <v>21.26</v>
      </c>
      <c r="J51" s="4">
        <f>G51*I51</f>
        <v/>
      </c>
      <c r="K51" s="4" t="n">
        <v>21.26</v>
      </c>
      <c r="L51" s="4" t="n">
        <v>21.26</v>
      </c>
      <c r="M51" s="4" t="n">
        <v>21.037</v>
      </c>
      <c r="N51" s="5">
        <f>K51/L51-1</f>
        <v/>
      </c>
      <c r="O51" s="6" t="inlineStr">
        <is>
          <t>OK (≤ últ. compra)</t>
        </is>
      </c>
      <c r="P51" s="2" t="inlineStr"/>
    </row>
    <row r="52">
      <c r="A52" s="2" t="inlineStr"/>
      <c r="B52" s="2" t="n">
        <v>582261</v>
      </c>
      <c r="C52" s="2" t="inlineStr">
        <is>
          <t>7891317015176</t>
        </is>
      </c>
      <c r="D52" s="2" t="inlineStr"/>
      <c r="E52" s="2" t="inlineStr">
        <is>
          <t>MINILAX 714,0+7,70MG/G SOL RET CAIXA C/ 7</t>
        </is>
      </c>
      <c r="F52" s="3" t="n">
        <v>1</v>
      </c>
      <c r="G52" s="3" t="n">
        <v>5</v>
      </c>
      <c r="H52" s="3" t="n">
        <v>5</v>
      </c>
      <c r="I52" s="4" t="n">
        <v>43.28</v>
      </c>
      <c r="J52" s="4">
        <f>G52*I52</f>
        <v/>
      </c>
      <c r="K52" s="4" t="n">
        <v>43.28</v>
      </c>
      <c r="L52" s="4" t="n">
        <v>6.35714285714286</v>
      </c>
      <c r="M52" s="4" t="n">
        <v>5.5567</v>
      </c>
      <c r="N52" s="5">
        <f>K52/L52-1</f>
        <v/>
      </c>
      <c r="O52" s="7" t="inlineStr">
        <is>
          <t>ACIMA +580.8% (vs últ. compra)</t>
        </is>
      </c>
      <c r="P52" s="2" t="inlineStr"/>
    </row>
    <row r="53">
      <c r="A53" s="2" t="inlineStr"/>
      <c r="B53" s="2" t="n">
        <v>134741</v>
      </c>
      <c r="C53" s="2" t="inlineStr">
        <is>
          <t>7896637025102</t>
        </is>
      </c>
      <c r="D53" s="2" t="inlineStr"/>
      <c r="E53" s="2" t="inlineStr">
        <is>
          <t>MIOSAN CAF 10+60MG CX 15 COMP REV</t>
        </is>
      </c>
      <c r="F53" s="3" t="n">
        <v>1</v>
      </c>
      <c r="G53" s="3" t="n">
        <v>1</v>
      </c>
      <c r="H53" s="3" t="n">
        <v>1</v>
      </c>
      <c r="I53" s="4" t="n">
        <v>25.27</v>
      </c>
      <c r="J53" s="4">
        <f>G53*I53</f>
        <v/>
      </c>
      <c r="K53" s="4" t="n">
        <v>25.27</v>
      </c>
      <c r="L53" s="4" t="n">
        <v>25.27</v>
      </c>
      <c r="M53" s="4" t="n">
        <v>21.505</v>
      </c>
      <c r="N53" s="5">
        <f>K53/L53-1</f>
        <v/>
      </c>
      <c r="O53" s="6" t="inlineStr">
        <is>
          <t>OK (≤ últ. compra)</t>
        </is>
      </c>
      <c r="P53" s="2" t="inlineStr"/>
    </row>
    <row r="54">
      <c r="A54" s="2" t="inlineStr"/>
      <c r="B54" s="2" t="n">
        <v>134701</v>
      </c>
      <c r="C54" s="2" t="inlineStr">
        <is>
          <t>7896637025096</t>
        </is>
      </c>
      <c r="D54" s="2" t="inlineStr"/>
      <c r="E54" s="2" t="inlineStr">
        <is>
          <t>MIOSAN CAF 5+30MG CX 15 COMP REV</t>
        </is>
      </c>
      <c r="F54" s="3" t="n">
        <v>1</v>
      </c>
      <c r="G54" s="3" t="n">
        <v>2</v>
      </c>
      <c r="H54" s="3" t="n">
        <v>2</v>
      </c>
      <c r="I54" s="4" t="n">
        <v>22.71</v>
      </c>
      <c r="J54" s="4">
        <f>G54*I54</f>
        <v/>
      </c>
      <c r="K54" s="4" t="n">
        <v>22.71</v>
      </c>
      <c r="L54" s="4" t="n">
        <v>22.71</v>
      </c>
      <c r="M54" s="4" t="n">
        <v>19.3267</v>
      </c>
      <c r="N54" s="5">
        <f>K54/L54-1</f>
        <v/>
      </c>
      <c r="O54" s="6" t="inlineStr">
        <is>
          <t>OK (≤ últ. compra)</t>
        </is>
      </c>
      <c r="P54" s="2" t="inlineStr"/>
    </row>
    <row r="55">
      <c r="A55" s="2" t="inlineStr"/>
      <c r="B55" s="2" t="n">
        <v>293561</v>
      </c>
      <c r="C55" s="2" t="inlineStr">
        <is>
          <t>7896676435214</t>
        </is>
      </c>
      <c r="D55" s="2" t="inlineStr"/>
      <c r="E55" s="2" t="inlineStr">
        <is>
          <t>MIRUGELL 0,4+0,3+0,1% SOL OFT FR 5ML</t>
        </is>
      </c>
      <c r="F55" s="3" t="n">
        <v>1</v>
      </c>
      <c r="G55" s="3" t="n">
        <v>2</v>
      </c>
      <c r="H55" s="3" t="n">
        <v>2</v>
      </c>
      <c r="I55" s="4" t="n">
        <v>19.8</v>
      </c>
      <c r="J55" s="4">
        <f>G55*I55</f>
        <v/>
      </c>
      <c r="K55" s="4" t="n">
        <v>19.8</v>
      </c>
      <c r="L55" s="4" t="n">
        <v>19.8</v>
      </c>
      <c r="M55" s="4" t="n">
        <v>18.33</v>
      </c>
      <c r="N55" s="5">
        <f>K55/L55-1</f>
        <v/>
      </c>
      <c r="O55" s="6" t="inlineStr">
        <is>
          <t>OK (≤ últ. compra)</t>
        </is>
      </c>
      <c r="P55" s="2" t="inlineStr"/>
    </row>
    <row r="56">
      <c r="A56" s="2" t="inlineStr"/>
      <c r="B56" s="2" t="n">
        <v>133441</v>
      </c>
      <c r="C56" s="2" t="inlineStr">
        <is>
          <t>7891317432362</t>
        </is>
      </c>
      <c r="D56" s="2" t="inlineStr"/>
      <c r="E56" s="2" t="inlineStr">
        <is>
          <t>MUSCULARE 10MG CX 15 COMP REV</t>
        </is>
      </c>
      <c r="F56" s="3" t="n">
        <v>1</v>
      </c>
      <c r="G56" s="3" t="n">
        <v>1</v>
      </c>
      <c r="H56" s="3" t="n">
        <v>1</v>
      </c>
      <c r="I56" s="4" t="n">
        <v>16.48</v>
      </c>
      <c r="J56" s="4">
        <f>G56*I56</f>
        <v/>
      </c>
      <c r="K56" s="4" t="n">
        <v>16.48</v>
      </c>
      <c r="L56" s="4" t="n">
        <v>16.48</v>
      </c>
      <c r="M56" s="4" t="n">
        <v>15.595</v>
      </c>
      <c r="N56" s="5">
        <f>K56/L56-1</f>
        <v/>
      </c>
      <c r="O56" s="6" t="inlineStr">
        <is>
          <t>OK (≤ últ. compra)</t>
        </is>
      </c>
      <c r="P56" s="2" t="inlineStr"/>
    </row>
    <row r="57">
      <c r="A57" s="2" t="inlineStr"/>
      <c r="B57" s="2" t="n">
        <v>358281</v>
      </c>
      <c r="C57" s="2" t="inlineStr">
        <is>
          <t>7894916500548</t>
        </is>
      </c>
      <c r="D57" s="2" t="inlineStr"/>
      <c r="E57" s="2" t="inlineStr">
        <is>
          <t>NEUTROFER 150MG FR 30 COMP</t>
        </is>
      </c>
      <c r="F57" s="3" t="n">
        <v>1</v>
      </c>
      <c r="G57" s="3" t="n">
        <v>2</v>
      </c>
      <c r="H57" s="3" t="n">
        <v>2</v>
      </c>
      <c r="I57" s="4" t="n">
        <v>25.99</v>
      </c>
      <c r="J57" s="4">
        <f>G57*I57</f>
        <v/>
      </c>
      <c r="K57" s="4" t="n">
        <v>25.99</v>
      </c>
      <c r="L57" s="4" t="n">
        <v>26.435</v>
      </c>
      <c r="M57" s="4" t="n">
        <v>24.29</v>
      </c>
      <c r="N57" s="5">
        <f>K57/L57-1</f>
        <v/>
      </c>
      <c r="O57" s="6" t="inlineStr">
        <is>
          <t>OK (≤ últ. compra)</t>
        </is>
      </c>
      <c r="P57" s="2" t="inlineStr"/>
    </row>
    <row r="58">
      <c r="A58" s="2" t="inlineStr"/>
      <c r="B58" s="2" t="n">
        <v>358341</v>
      </c>
      <c r="C58" s="2" t="inlineStr">
        <is>
          <t>7894916500296</t>
        </is>
      </c>
      <c r="D58" s="2" t="inlineStr"/>
      <c r="E58" s="2" t="inlineStr">
        <is>
          <t>NEUTROFER 250MG SOL FR GTS 30ML</t>
        </is>
      </c>
      <c r="F58" s="3" t="n">
        <v>1</v>
      </c>
      <c r="G58" s="3" t="n">
        <v>1</v>
      </c>
      <c r="H58" s="3" t="n">
        <v>1</v>
      </c>
      <c r="I58" s="4" t="n">
        <v>47.46</v>
      </c>
      <c r="J58" s="4">
        <f>G58*I58</f>
        <v/>
      </c>
      <c r="K58" s="4" t="n">
        <v>47.46</v>
      </c>
      <c r="L58" s="4" t="n">
        <v>46.96</v>
      </c>
      <c r="M58" s="4" t="n">
        <v>44.3433</v>
      </c>
      <c r="N58" s="5">
        <f>K58/L58-1</f>
        <v/>
      </c>
      <c r="O58" s="7" t="inlineStr">
        <is>
          <t>ACIMA +1.1% (vs últ. compra)</t>
        </is>
      </c>
      <c r="P58" s="2" t="inlineStr"/>
    </row>
    <row r="59">
      <c r="A59" s="2" t="inlineStr"/>
      <c r="B59" s="2" t="n">
        <v>69181</v>
      </c>
      <c r="C59" s="2" t="inlineStr">
        <is>
          <t>7891317460518</t>
        </is>
      </c>
      <c r="D59" s="2" t="inlineStr"/>
      <c r="E59" s="2" t="inlineStr">
        <is>
          <t>NOEX 50MCG SUS NAS FR 200 DOS</t>
        </is>
      </c>
      <c r="F59" s="3" t="n">
        <v>1</v>
      </c>
      <c r="G59" s="3" t="n">
        <v>1</v>
      </c>
      <c r="H59" s="3" t="n">
        <v>1</v>
      </c>
      <c r="I59" s="4" t="n">
        <v>57.73</v>
      </c>
      <c r="J59" s="4">
        <f>G59*I59</f>
        <v/>
      </c>
      <c r="K59" s="4" t="n">
        <v>57.73</v>
      </c>
      <c r="L59" s="4" t="n">
        <v>57.73</v>
      </c>
      <c r="M59" s="4" t="n">
        <v>53.3</v>
      </c>
      <c r="N59" s="5">
        <f>K59/L59-1</f>
        <v/>
      </c>
      <c r="O59" s="6" t="inlineStr">
        <is>
          <t>OK (≤ últ. compra)</t>
        </is>
      </c>
      <c r="P59" s="2" t="inlineStr"/>
    </row>
    <row r="60">
      <c r="A60" s="2" t="inlineStr"/>
      <c r="B60" s="2" t="n">
        <v>321581</v>
      </c>
      <c r="C60" s="2" t="inlineStr">
        <is>
          <t>7896637022439</t>
        </is>
      </c>
      <c r="D60" s="2" t="inlineStr"/>
      <c r="E60" s="2" t="inlineStr">
        <is>
          <t>OTO-XILODASE SOL OTO FR 8ML+AMP</t>
        </is>
      </c>
      <c r="F60" s="3" t="n">
        <v>1</v>
      </c>
      <c r="G60" s="3" t="n">
        <v>10</v>
      </c>
      <c r="H60" s="3" t="n">
        <v>10</v>
      </c>
      <c r="I60" s="4" t="n">
        <v>19.83</v>
      </c>
      <c r="J60" s="4">
        <f>G60*I60</f>
        <v/>
      </c>
      <c r="K60" s="4" t="n">
        <v>19.83</v>
      </c>
      <c r="L60" s="4" t="n">
        <v>19.83</v>
      </c>
      <c r="M60" s="4" t="n">
        <v>19.515</v>
      </c>
      <c r="N60" s="5">
        <f>K60/L60-1</f>
        <v/>
      </c>
      <c r="O60" s="6" t="inlineStr">
        <is>
          <t>OK (≤ últ. compra)</t>
        </is>
      </c>
      <c r="P60" s="2" t="inlineStr"/>
    </row>
    <row r="61">
      <c r="A61" s="2" t="inlineStr"/>
      <c r="B61" s="2" t="n">
        <v>398941</v>
      </c>
      <c r="C61" s="2" t="inlineStr">
        <is>
          <t>7891317000035</t>
        </is>
      </c>
      <c r="D61" s="2" t="inlineStr"/>
      <c r="E61" s="2" t="inlineStr">
        <is>
          <t>PACO 500MG+30MG CX 12 COMP</t>
        </is>
      </c>
      <c r="F61" s="3" t="n">
        <v>1</v>
      </c>
      <c r="G61" s="3" t="n">
        <v>6</v>
      </c>
      <c r="H61" s="3" t="n">
        <v>6</v>
      </c>
      <c r="I61" s="4" t="n">
        <v>24.95</v>
      </c>
      <c r="J61" s="4">
        <f>G61*I61</f>
        <v/>
      </c>
      <c r="K61" s="4" t="n">
        <v>24.95</v>
      </c>
      <c r="L61" s="4" t="n">
        <v>31.99</v>
      </c>
      <c r="M61" s="4" t="n">
        <v>23.0125</v>
      </c>
      <c r="N61" s="5">
        <f>K61/L61-1</f>
        <v/>
      </c>
      <c r="O61" s="6" t="inlineStr">
        <is>
          <t>OK (≤ últ. compra)</t>
        </is>
      </c>
      <c r="P61" s="2" t="inlineStr"/>
    </row>
    <row r="62">
      <c r="A62" s="2" t="inlineStr"/>
      <c r="B62" s="2" t="n">
        <v>398921</v>
      </c>
      <c r="C62" s="2" t="inlineStr">
        <is>
          <t>7891317000042</t>
        </is>
      </c>
      <c r="D62" s="2" t="inlineStr"/>
      <c r="E62" s="2" t="inlineStr">
        <is>
          <t>PACO 500MG+30MG CX 24 COMP</t>
        </is>
      </c>
      <c r="F62" s="3" t="n">
        <v>1</v>
      </c>
      <c r="G62" s="3" t="n">
        <v>1</v>
      </c>
      <c r="H62" s="3" t="n">
        <v>1</v>
      </c>
      <c r="I62" s="4" t="n">
        <v>45.32</v>
      </c>
      <c r="J62" s="4">
        <f>G62*I62</f>
        <v/>
      </c>
      <c r="K62" s="4" t="n">
        <v>45.32</v>
      </c>
      <c r="L62" s="4" t="n">
        <v>46.6</v>
      </c>
      <c r="M62" s="4" t="n">
        <v>41.795</v>
      </c>
      <c r="N62" s="5">
        <f>K62/L62-1</f>
        <v/>
      </c>
      <c r="O62" s="6" t="inlineStr">
        <is>
          <t>OK (≤ últ. compra)</t>
        </is>
      </c>
      <c r="P62" s="2" t="inlineStr"/>
    </row>
    <row r="63">
      <c r="A63" s="2" t="inlineStr"/>
      <c r="B63" s="2" t="n">
        <v>284281</v>
      </c>
      <c r="C63" s="2" t="inlineStr">
        <is>
          <t>7896637025362</t>
        </is>
      </c>
      <c r="D63" s="2" t="inlineStr"/>
      <c r="E63" s="2" t="inlineStr">
        <is>
          <t>POSTEC 2,5MG+150UTR POM DERM BG 20G</t>
        </is>
      </c>
      <c r="F63" s="3" t="n">
        <v>1</v>
      </c>
      <c r="G63" s="3" t="n">
        <v>2</v>
      </c>
      <c r="H63" s="3" t="n">
        <v>2</v>
      </c>
      <c r="I63" s="4" t="n">
        <v>108.14</v>
      </c>
      <c r="J63" s="4">
        <f>G63*I63</f>
        <v/>
      </c>
      <c r="K63" s="4" t="n">
        <v>108.14</v>
      </c>
      <c r="L63" s="4" t="n">
        <v>108.14</v>
      </c>
      <c r="M63" s="4" t="n">
        <v>101.2367</v>
      </c>
      <c r="N63" s="5">
        <f>K63/L63-1</f>
        <v/>
      </c>
      <c r="O63" s="6" t="inlineStr">
        <is>
          <t>OK (≤ últ. compra)</t>
        </is>
      </c>
      <c r="P63" s="2" t="inlineStr"/>
    </row>
    <row r="64">
      <c r="A64" s="2" t="inlineStr"/>
      <c r="B64" s="2" t="n">
        <v>205741</v>
      </c>
      <c r="C64" s="2" t="inlineStr">
        <is>
          <t>7891317177645</t>
        </is>
      </c>
      <c r="D64" s="2" t="inlineStr"/>
      <c r="E64" s="2" t="inlineStr">
        <is>
          <t>PV PRIMERA 0,150+0,020MG CX 21 COMP</t>
        </is>
      </c>
      <c r="F64" s="3" t="n">
        <v>1</v>
      </c>
      <c r="G64" s="3" t="n">
        <v>1</v>
      </c>
      <c r="H64" s="3" t="n">
        <v>1</v>
      </c>
      <c r="I64" s="4" t="n">
        <v>32.16</v>
      </c>
      <c r="J64" s="4">
        <f>G64*I64</f>
        <v/>
      </c>
      <c r="K64" s="4" t="n">
        <v>32.16</v>
      </c>
      <c r="L64" s="4" t="n">
        <v>32.16</v>
      </c>
      <c r="M64" s="4" t="n">
        <v>29.69</v>
      </c>
      <c r="N64" s="5">
        <f>K64/L64-1</f>
        <v/>
      </c>
      <c r="O64" s="6" t="inlineStr">
        <is>
          <t>OK (≤ últ. compra)</t>
        </is>
      </c>
      <c r="P64" s="2" t="inlineStr"/>
    </row>
    <row r="65">
      <c r="A65" s="2" t="inlineStr"/>
      <c r="B65" s="2" t="n">
        <v>14581</v>
      </c>
      <c r="C65" s="2" t="inlineStr">
        <is>
          <t>7891106006279</t>
        </is>
      </c>
      <c r="D65" s="2" t="inlineStr"/>
      <c r="E65" s="2" t="inlineStr">
        <is>
          <t>REDOXON 1G TB 10 COMP EFEV SB LARANJA</t>
        </is>
      </c>
      <c r="F65" s="3" t="n">
        <v>1</v>
      </c>
      <c r="G65" s="3" t="n">
        <v>1</v>
      </c>
      <c r="H65" s="3" t="n">
        <v>1</v>
      </c>
      <c r="I65" s="4" t="n">
        <v>13.47</v>
      </c>
      <c r="J65" s="4">
        <f>G65*I65</f>
        <v/>
      </c>
      <c r="K65" s="4" t="n">
        <v>13.47</v>
      </c>
      <c r="L65" s="4" t="n">
        <v>13.47</v>
      </c>
      <c r="M65" s="4" t="n">
        <v>13.47</v>
      </c>
      <c r="N65" s="5">
        <f>K65/L65-1</f>
        <v/>
      </c>
      <c r="O65" s="6" t="inlineStr">
        <is>
          <t>OK (≤ menor hist.)</t>
        </is>
      </c>
      <c r="P65" s="2" t="inlineStr"/>
    </row>
    <row r="66">
      <c r="A66" s="2" t="inlineStr"/>
      <c r="B66" s="2" t="n">
        <v>431301</v>
      </c>
      <c r="C66" s="2" t="inlineStr">
        <is>
          <t>7896227800089</t>
        </is>
      </c>
      <c r="D66" s="2" t="inlineStr"/>
      <c r="E66" s="2" t="inlineStr">
        <is>
          <t>SALONPAS 0,15+0,07G/G GEL BG 20G</t>
        </is>
      </c>
      <c r="F66" s="3" t="n">
        <v>1</v>
      </c>
      <c r="G66" s="3" t="n">
        <v>2</v>
      </c>
      <c r="H66" s="3" t="n">
        <v>2</v>
      </c>
      <c r="I66" s="4" t="n">
        <v>16.2</v>
      </c>
      <c r="J66" s="4">
        <f>G66*I66</f>
        <v/>
      </c>
      <c r="K66" s="4" t="n">
        <v>16.2</v>
      </c>
      <c r="L66" s="4" t="n">
        <v>14.86</v>
      </c>
      <c r="M66" s="4" t="n">
        <v>14.325</v>
      </c>
      <c r="N66" s="5">
        <f>K66/L66-1</f>
        <v/>
      </c>
      <c r="O66" s="7" t="inlineStr">
        <is>
          <t>ACIMA +9.0% (vs últ. compra)</t>
        </is>
      </c>
      <c r="P66" s="2" t="inlineStr"/>
    </row>
    <row r="67">
      <c r="A67" s="2" t="inlineStr"/>
      <c r="B67" s="2" t="n">
        <v>623011</v>
      </c>
      <c r="C67" s="2" t="inlineStr">
        <is>
          <t>4987188501115</t>
        </is>
      </c>
      <c r="D67" s="2" t="inlineStr"/>
      <c r="E67" s="2" t="inlineStr">
        <is>
          <t>SALONPAS GEL-PATCH 12,5MG/G+10MG/G+3MG/G+10MG/G 3 ADES</t>
        </is>
      </c>
      <c r="F67" s="3" t="n">
        <v>1</v>
      </c>
      <c r="G67" s="3" t="n">
        <v>2</v>
      </c>
      <c r="H67" s="3" t="n">
        <v>2</v>
      </c>
      <c r="I67" s="4" t="n">
        <v>15.07</v>
      </c>
      <c r="J67" s="4">
        <f>G67*I67</f>
        <v/>
      </c>
      <c r="K67" s="4" t="n">
        <v>15.07</v>
      </c>
      <c r="L67" s="4" t="n">
        <v>15.66</v>
      </c>
      <c r="M67" s="4" t="n">
        <v>11.075</v>
      </c>
      <c r="N67" s="5">
        <f>K67/L67-1</f>
        <v/>
      </c>
      <c r="O67" s="6" t="inlineStr">
        <is>
          <t>OK (≤ últ. compra)</t>
        </is>
      </c>
      <c r="P67" s="2" t="inlineStr"/>
    </row>
    <row r="68">
      <c r="A68" s="2" t="inlineStr"/>
      <c r="B68" s="2" t="n">
        <v>612511</v>
      </c>
      <c r="C68" s="2" t="inlineStr">
        <is>
          <t>7896658038723</t>
        </is>
      </c>
      <c r="D68" s="2" t="inlineStr"/>
      <c r="E68" s="2" t="inlineStr">
        <is>
          <t>SANY D FR GTS 20ML</t>
        </is>
      </c>
      <c r="F68" s="3" t="n">
        <v>1</v>
      </c>
      <c r="G68" s="3" t="n">
        <v>1</v>
      </c>
      <c r="H68" s="3" t="n">
        <v>1</v>
      </c>
      <c r="I68" s="4" t="n">
        <v>27.01</v>
      </c>
      <c r="J68" s="4">
        <f>G68*I68</f>
        <v/>
      </c>
      <c r="K68" s="4" t="n">
        <v>27.01</v>
      </c>
      <c r="L68" s="4" t="n">
        <v>28.51</v>
      </c>
      <c r="M68" s="4" t="n">
        <v>24.77</v>
      </c>
      <c r="N68" s="5">
        <f>K68/L68-1</f>
        <v/>
      </c>
      <c r="O68" s="6" t="inlineStr">
        <is>
          <t>OK (≤ últ. compra)</t>
        </is>
      </c>
      <c r="P68" s="2" t="inlineStr"/>
    </row>
    <row r="69">
      <c r="A69" s="2" t="inlineStr"/>
      <c r="B69" s="2" t="n">
        <v>4281</v>
      </c>
      <c r="C69" s="2" t="inlineStr">
        <is>
          <t>7891317465650</t>
        </is>
      </c>
      <c r="D69" s="2" t="inlineStr"/>
      <c r="E69" s="2" t="inlineStr">
        <is>
          <t>SELENE 0,035+2MG (CAIXA C/ 3 CARTELAS) C/21</t>
        </is>
      </c>
      <c r="F69" s="3" t="n">
        <v>1</v>
      </c>
      <c r="G69" s="3" t="n">
        <v>2</v>
      </c>
      <c r="H69" s="3" t="n">
        <v>2</v>
      </c>
      <c r="I69" s="4" t="n">
        <v>54.48</v>
      </c>
      <c r="J69" s="4">
        <f>G69*I69</f>
        <v/>
      </c>
      <c r="K69" s="4" t="n">
        <v>54.48</v>
      </c>
      <c r="L69" s="4" t="n">
        <v>18.6713333333333</v>
      </c>
      <c r="M69" s="4" t="n">
        <v>16.7667</v>
      </c>
      <c r="N69" s="5">
        <f>K69/L69-1</f>
        <v/>
      </c>
      <c r="O69" s="7" t="inlineStr">
        <is>
          <t>ACIMA +191.8% (vs últ. compra)</t>
        </is>
      </c>
      <c r="P69" s="2" t="inlineStr"/>
    </row>
    <row r="70">
      <c r="A70" s="2" t="inlineStr"/>
      <c r="B70" s="2" t="n">
        <v>4601</v>
      </c>
      <c r="C70" s="2" t="inlineStr">
        <is>
          <t>7891317465667</t>
        </is>
      </c>
      <c r="D70" s="2" t="inlineStr"/>
      <c r="E70" s="2" t="inlineStr">
        <is>
          <t>SELENE 0,035+2MG CX 21 COMP REV</t>
        </is>
      </c>
      <c r="F70" s="3" t="n">
        <v>1</v>
      </c>
      <c r="G70" s="3" t="n">
        <v>19</v>
      </c>
      <c r="H70" s="3" t="n">
        <v>19</v>
      </c>
      <c r="I70" s="4" t="n">
        <v>26.38</v>
      </c>
      <c r="J70" s="4">
        <f>G70*I70</f>
        <v/>
      </c>
      <c r="K70" s="4" t="n">
        <v>26.38</v>
      </c>
      <c r="L70" s="4" t="n">
        <v>26.38</v>
      </c>
      <c r="M70" s="4" t="n">
        <v>24.35</v>
      </c>
      <c r="N70" s="5">
        <f>K70/L70-1</f>
        <v/>
      </c>
      <c r="O70" s="6" t="inlineStr">
        <is>
          <t>OK (≤ últ. compra)</t>
        </is>
      </c>
      <c r="P70" s="2" t="inlineStr"/>
    </row>
    <row r="71">
      <c r="A71" s="2" t="inlineStr"/>
      <c r="B71" s="2" t="n">
        <v>110341</v>
      </c>
      <c r="C71" s="2" t="inlineStr">
        <is>
          <t>7891317421748</t>
        </is>
      </c>
      <c r="D71" s="2" t="inlineStr"/>
      <c r="E71" s="2" t="inlineStr">
        <is>
          <t>SINOT CLAV 875+125MG FR 14 COMP</t>
        </is>
      </c>
      <c r="F71" s="3" t="n">
        <v>1</v>
      </c>
      <c r="G71" s="3" t="n">
        <v>2</v>
      </c>
      <c r="H71" s="3" t="n">
        <v>2</v>
      </c>
      <c r="I71" s="4" t="n">
        <v>59.77</v>
      </c>
      <c r="J71" s="4">
        <f>G71*I71</f>
        <v/>
      </c>
      <c r="K71" s="4" t="n">
        <v>59.77</v>
      </c>
      <c r="L71" s="4" t="n">
        <v>61.45</v>
      </c>
      <c r="M71" s="4" t="n">
        <v>59.13</v>
      </c>
      <c r="N71" s="5">
        <f>K71/L71-1</f>
        <v/>
      </c>
      <c r="O71" s="6" t="inlineStr">
        <is>
          <t>OK (≤ últ. compra)</t>
        </is>
      </c>
      <c r="P71" s="2" t="inlineStr"/>
    </row>
    <row r="72">
      <c r="A72" s="2" t="inlineStr"/>
      <c r="B72" s="2" t="n">
        <v>529941</v>
      </c>
      <c r="C72" s="2" t="inlineStr">
        <is>
          <t>7908134200552</t>
        </is>
      </c>
      <c r="D72" s="2" t="inlineStr"/>
      <c r="E72" s="2" t="inlineStr">
        <is>
          <t>SLINDA 4MG (CAIXA C/ 3 CARTELAS) C/28 COMP REV</t>
        </is>
      </c>
      <c r="F72" s="3" t="n">
        <v>1</v>
      </c>
      <c r="G72" s="3" t="n">
        <v>1</v>
      </c>
      <c r="H72" s="3" t="n">
        <v>1</v>
      </c>
      <c r="I72" s="4" t="n">
        <v>226.51</v>
      </c>
      <c r="J72" s="4">
        <f>G72*I72</f>
        <v/>
      </c>
      <c r="K72" s="4" t="n">
        <v>226.51</v>
      </c>
      <c r="L72" s="4" t="n">
        <v>226.51</v>
      </c>
      <c r="M72" s="4" t="n">
        <v>67.41330000000001</v>
      </c>
      <c r="N72" s="5">
        <f>K72/L72-1</f>
        <v/>
      </c>
      <c r="O72" s="6" t="inlineStr">
        <is>
          <t>OK (≤ últ. compra)</t>
        </is>
      </c>
      <c r="P72" s="2" t="inlineStr"/>
    </row>
    <row r="73">
      <c r="A73" s="2" t="inlineStr"/>
      <c r="B73" s="2" t="n">
        <v>543041</v>
      </c>
      <c r="C73" s="2" t="inlineStr">
        <is>
          <t>7896658035944</t>
        </is>
      </c>
      <c r="D73" s="2" t="inlineStr"/>
      <c r="E73" s="2" t="inlineStr">
        <is>
          <t>SORINE JET BABY 0,9% SOL NAS SPR FR 100ML</t>
        </is>
      </c>
      <c r="F73" s="3" t="n">
        <v>1</v>
      </c>
      <c r="G73" s="3" t="n">
        <v>4</v>
      </c>
      <c r="H73" s="3" t="n">
        <v>4</v>
      </c>
      <c r="I73" s="4" t="n">
        <v>33.97</v>
      </c>
      <c r="J73" s="4">
        <f>G73*I73</f>
        <v/>
      </c>
      <c r="K73" s="4" t="n">
        <v>33.97</v>
      </c>
      <c r="L73" s="4" t="n">
        <v>27.416</v>
      </c>
      <c r="M73" s="4" t="n">
        <v>27.105</v>
      </c>
      <c r="N73" s="5">
        <f>K73/L73-1</f>
        <v/>
      </c>
      <c r="O73" s="7" t="inlineStr">
        <is>
          <t>ACIMA +23.9% (vs últ. compra)</t>
        </is>
      </c>
      <c r="P73" s="2" t="inlineStr"/>
    </row>
    <row r="74">
      <c r="A74" s="2" t="inlineStr"/>
      <c r="B74" s="2" t="n">
        <v>262121</v>
      </c>
      <c r="C74" s="2" t="inlineStr">
        <is>
          <t>7891317465049</t>
        </is>
      </c>
      <c r="D74" s="2" t="inlineStr"/>
      <c r="E74" s="2" t="inlineStr">
        <is>
          <t>TAMISA 0,075+0,020MG CX 21 DRG</t>
        </is>
      </c>
      <c r="F74" s="3" t="n">
        <v>1</v>
      </c>
      <c r="G74" s="3" t="n">
        <v>3</v>
      </c>
      <c r="H74" s="3" t="n">
        <v>3</v>
      </c>
      <c r="I74" s="4" t="n">
        <v>28.4</v>
      </c>
      <c r="J74" s="4">
        <f>G74*I74</f>
        <v/>
      </c>
      <c r="K74" s="4" t="n">
        <v>28.4</v>
      </c>
      <c r="L74" s="4" t="n">
        <v>28.4</v>
      </c>
      <c r="M74" s="4" t="n">
        <v>26.225</v>
      </c>
      <c r="N74" s="5">
        <f>K74/L74-1</f>
        <v/>
      </c>
      <c r="O74" s="6" t="inlineStr">
        <is>
          <t>OK (≤ últ. compra)</t>
        </is>
      </c>
      <c r="P74" s="2" t="inlineStr"/>
    </row>
    <row r="75">
      <c r="A75" s="2" t="inlineStr"/>
      <c r="B75" s="2" t="n">
        <v>82741</v>
      </c>
      <c r="C75" s="2" t="inlineStr">
        <is>
          <t>7896658001666</t>
        </is>
      </c>
      <c r="D75" s="2" t="inlineStr"/>
      <c r="E75" s="2" t="inlineStr">
        <is>
          <t>TANDRILAX 300+125+30MG CX 30 COMP</t>
        </is>
      </c>
      <c r="F75" s="3" t="n">
        <v>1</v>
      </c>
      <c r="G75" s="3" t="n">
        <v>8</v>
      </c>
      <c r="H75" s="3" t="n">
        <v>8</v>
      </c>
      <c r="I75" s="4" t="n">
        <v>26.91</v>
      </c>
      <c r="J75" s="4">
        <f>G75*I75</f>
        <v/>
      </c>
      <c r="K75" s="4" t="n">
        <v>26.91</v>
      </c>
      <c r="L75" s="4" t="n">
        <v>14.02</v>
      </c>
      <c r="M75" s="4" t="n">
        <v>14.02</v>
      </c>
      <c r="N75" s="5">
        <f>K75/L75-1</f>
        <v/>
      </c>
      <c r="O75" s="7" t="inlineStr">
        <is>
          <t>ACIMA +91.9% (vs últ. compra)</t>
        </is>
      </c>
      <c r="P75" s="2" t="inlineStr"/>
    </row>
    <row r="76">
      <c r="A76" s="2" t="inlineStr"/>
      <c r="B76" s="2" t="n">
        <v>82761</v>
      </c>
      <c r="C76" s="2" t="inlineStr">
        <is>
          <t>7896658004704</t>
        </is>
      </c>
      <c r="D76" s="2" t="inlineStr"/>
      <c r="E76" s="2" t="inlineStr">
        <is>
          <t>TANDRILAX 300+125+50MG CX 15 COMP</t>
        </is>
      </c>
      <c r="F76" s="3" t="n">
        <v>1</v>
      </c>
      <c r="G76" s="3" t="n">
        <v>15</v>
      </c>
      <c r="H76" s="3" t="n">
        <v>15</v>
      </c>
      <c r="I76" s="4" t="n">
        <v>14.61</v>
      </c>
      <c r="J76" s="4">
        <f>G76*I76</f>
        <v/>
      </c>
      <c r="K76" s="4" t="n">
        <v>14.61</v>
      </c>
      <c r="L76" s="4" t="n">
        <v>6.2982</v>
      </c>
      <c r="M76" s="4" t="n">
        <v>6.2982</v>
      </c>
      <c r="N76" s="5">
        <f>K76/L76-1</f>
        <v/>
      </c>
      <c r="O76" s="7" t="inlineStr">
        <is>
          <t>ACIMA +132.0% (vs últ. compra)</t>
        </is>
      </c>
      <c r="P76" s="2" t="inlineStr"/>
    </row>
    <row r="77">
      <c r="A77" s="2" t="inlineStr"/>
      <c r="B77" s="2" t="n">
        <v>210541</v>
      </c>
      <c r="C77" s="2" t="inlineStr">
        <is>
          <t>7891317005931</t>
        </is>
      </c>
      <c r="D77" s="2" t="inlineStr"/>
      <c r="E77" s="2" t="inlineStr">
        <is>
          <t>TRIMUSK 125+50+300+30MG CX 15 COMP</t>
        </is>
      </c>
      <c r="F77" s="3" t="n">
        <v>1</v>
      </c>
      <c r="G77" s="3" t="n">
        <v>11</v>
      </c>
      <c r="H77" s="3" t="n">
        <v>11</v>
      </c>
      <c r="I77" s="4" t="n">
        <v>17.91</v>
      </c>
      <c r="J77" s="4">
        <f>G77*I77</f>
        <v/>
      </c>
      <c r="K77" s="4" t="n">
        <v>17.91</v>
      </c>
      <c r="L77" s="4" t="n">
        <v>17.91</v>
      </c>
      <c r="M77" s="4" t="n">
        <v>16.955</v>
      </c>
      <c r="N77" s="5">
        <f>K77/L77-1</f>
        <v/>
      </c>
      <c r="O77" s="6" t="inlineStr">
        <is>
          <t>OK (≤ últ. compra)</t>
        </is>
      </c>
      <c r="P77" s="2" t="inlineStr"/>
    </row>
    <row r="78">
      <c r="A78" s="2" t="inlineStr"/>
      <c r="B78" s="2" t="n">
        <v>207441</v>
      </c>
      <c r="C78" s="2" t="inlineStr">
        <is>
          <t>7896226102504</t>
        </is>
      </c>
      <c r="D78" s="2" t="inlineStr"/>
      <c r="E78" s="2" t="inlineStr">
        <is>
          <t>TRIVAGEL-N CREME VAG BG 60G+10APLIC</t>
        </is>
      </c>
      <c r="F78" s="3" t="n">
        <v>1</v>
      </c>
      <c r="G78" s="3" t="n">
        <v>1</v>
      </c>
      <c r="H78" s="3" t="n">
        <v>1</v>
      </c>
      <c r="I78" s="4" t="n">
        <v>72.44</v>
      </c>
      <c r="J78" s="4">
        <f>G78*I78</f>
        <v/>
      </c>
      <c r="K78" s="4" t="n">
        <v>72.44</v>
      </c>
      <c r="L78" s="4" t="n">
        <v>73.675</v>
      </c>
      <c r="M78" s="4" t="n">
        <v>63.0967</v>
      </c>
      <c r="N78" s="5">
        <f>K78/L78-1</f>
        <v/>
      </c>
      <c r="O78" s="6" t="inlineStr">
        <is>
          <t>OK (≤ últ. compra)</t>
        </is>
      </c>
      <c r="P78" s="2" t="inlineStr"/>
    </row>
    <row r="79">
      <c r="A79" s="2" t="inlineStr"/>
      <c r="B79" s="2" t="n">
        <v>451961</v>
      </c>
      <c r="C79" s="2" t="inlineStr">
        <is>
          <t>7891317412555</t>
        </is>
      </c>
      <c r="D79" s="2" t="inlineStr"/>
      <c r="E79" s="2" t="inlineStr">
        <is>
          <t>TROK-N POM TB 10G</t>
        </is>
      </c>
      <c r="F79" s="3" t="n">
        <v>1</v>
      </c>
      <c r="G79" s="3" t="n">
        <v>5</v>
      </c>
      <c r="H79" s="3" t="n">
        <v>5</v>
      </c>
      <c r="I79" s="4" t="n">
        <v>15.35</v>
      </c>
      <c r="J79" s="4">
        <f>G79*I79</f>
        <v/>
      </c>
      <c r="K79" s="4" t="n">
        <v>15.35</v>
      </c>
      <c r="L79" s="4" t="n">
        <v>15.35</v>
      </c>
      <c r="M79" s="4" t="n">
        <v>14.345</v>
      </c>
      <c r="N79" s="5">
        <f>K79/L79-1</f>
        <v/>
      </c>
      <c r="O79" s="6" t="inlineStr">
        <is>
          <t>OK (≤ últ. compra)</t>
        </is>
      </c>
      <c r="P79" s="2" t="inlineStr"/>
    </row>
    <row r="80">
      <c r="A80" s="2" t="inlineStr"/>
      <c r="B80" s="2" t="n">
        <v>70821</v>
      </c>
      <c r="C80" s="2" t="inlineStr">
        <is>
          <t>7894916208154</t>
        </is>
      </c>
      <c r="D80" s="2" t="inlineStr"/>
      <c r="E80" s="2" t="inlineStr">
        <is>
          <t>TROPINAL CX 20 COMP</t>
        </is>
      </c>
      <c r="F80" s="3" t="n">
        <v>1</v>
      </c>
      <c r="G80" s="3" t="n">
        <v>3</v>
      </c>
      <c r="H80" s="3" t="n">
        <v>3</v>
      </c>
      <c r="I80" s="4" t="n">
        <v>19.55</v>
      </c>
      <c r="J80" s="4">
        <f>G80*I80</f>
        <v/>
      </c>
      <c r="K80" s="4" t="n">
        <v>19.55</v>
      </c>
      <c r="L80" s="4" t="n">
        <v>19.8855555555556</v>
      </c>
      <c r="M80" s="4" t="n">
        <v>18.914</v>
      </c>
      <c r="N80" s="5">
        <f>K80/L80-1</f>
        <v/>
      </c>
      <c r="O80" s="6" t="inlineStr">
        <is>
          <t>OK (≤ últ. compra)</t>
        </is>
      </c>
      <c r="P80" s="2" t="inlineStr"/>
    </row>
    <row r="81">
      <c r="A81" s="2" t="inlineStr"/>
      <c r="B81" s="2" t="n">
        <v>596721</v>
      </c>
      <c r="C81" s="2" t="inlineStr">
        <is>
          <t>7898040329112</t>
        </is>
      </c>
      <c r="D81" s="2" t="inlineStr"/>
      <c r="E81" s="2" t="inlineStr">
        <is>
          <t>VARICELL CREME BG 150G</t>
        </is>
      </c>
      <c r="F81" s="3" t="n">
        <v>1</v>
      </c>
      <c r="G81" s="3" t="n">
        <v>2</v>
      </c>
      <c r="H81" s="3" t="n">
        <v>2</v>
      </c>
      <c r="I81" s="4" t="n">
        <v>29.62</v>
      </c>
      <c r="J81" s="4">
        <f>G81*I81</f>
        <v/>
      </c>
      <c r="K81" s="4" t="n">
        <v>29.62</v>
      </c>
      <c r="L81" s="4" t="n">
        <v>28.28</v>
      </c>
      <c r="M81" s="4" t="n">
        <v>18.49</v>
      </c>
      <c r="N81" s="5">
        <f>K81/L81-1</f>
        <v/>
      </c>
      <c r="O81" s="7" t="inlineStr">
        <is>
          <t>ACIMA +4.7% (vs últ. compra)</t>
        </is>
      </c>
      <c r="P81" s="2" t="inlineStr"/>
    </row>
    <row r="82">
      <c r="A82" s="2" t="inlineStr"/>
      <c r="B82" s="2" t="n">
        <v>16681</v>
      </c>
      <c r="C82" s="2" t="inlineStr">
        <is>
          <t>7898109241485</t>
        </is>
      </c>
      <c r="D82" s="2" t="inlineStr"/>
      <c r="E82" s="2" t="inlineStr">
        <is>
          <t>VI-FERRIN 150+0,25+7,5MCG SOL OR FR X 20ML</t>
        </is>
      </c>
      <c r="F82" s="3" t="n">
        <v>1</v>
      </c>
      <c r="G82" s="3" t="n">
        <v>4</v>
      </c>
      <c r="H82" s="3" t="n">
        <v>4</v>
      </c>
      <c r="I82" s="4" t="n">
        <v>29.05</v>
      </c>
      <c r="J82" s="4">
        <f>G82*I82</f>
        <v/>
      </c>
      <c r="K82" s="4" t="n">
        <v>29.05</v>
      </c>
      <c r="L82" s="4" t="n">
        <v>29.05</v>
      </c>
      <c r="M82" s="4" t="n">
        <v>29.05</v>
      </c>
      <c r="N82" s="5">
        <f>K82/L82-1</f>
        <v/>
      </c>
      <c r="O82" s="6" t="inlineStr">
        <is>
          <t>OK (≤ menor hist.)</t>
        </is>
      </c>
      <c r="P82" s="2" t="inlineStr"/>
    </row>
    <row r="83">
      <c r="A83" s="2" t="inlineStr"/>
      <c r="B83" s="2" t="n">
        <v>318341</v>
      </c>
      <c r="C83" s="2" t="inlineStr">
        <is>
          <t>78911239</t>
        </is>
      </c>
      <c r="D83" s="2" t="inlineStr"/>
      <c r="E83" s="2" t="inlineStr">
        <is>
          <t>VICK INALADOR 0.5G DESC NASAL UNID</t>
        </is>
      </c>
      <c r="F83" s="3" t="n">
        <v>12</v>
      </c>
      <c r="G83" s="3" t="n">
        <v>2</v>
      </c>
      <c r="H83" s="3" t="n">
        <v>24</v>
      </c>
      <c r="I83" s="4" t="n">
        <v>190.54</v>
      </c>
      <c r="J83" s="4">
        <f>G83*I83</f>
        <v/>
      </c>
      <c r="K83" s="4" t="n">
        <v>15.87833333333333</v>
      </c>
      <c r="L83" s="4" t="n">
        <v>16.2391666666667</v>
      </c>
      <c r="M83" s="4" t="n">
        <v>12.3925</v>
      </c>
      <c r="N83" s="5">
        <f>K83/L83-1</f>
        <v/>
      </c>
      <c r="O83" s="6" t="inlineStr">
        <is>
          <t>OK (≤ últ. compra)</t>
        </is>
      </c>
      <c r="P83" s="2" t="inlineStr"/>
    </row>
    <row r="84">
      <c r="A84" s="2" t="inlineStr"/>
      <c r="B84" s="2" t="n">
        <v>622781</v>
      </c>
      <c r="C84" s="2" t="inlineStr">
        <is>
          <t>7896226100067</t>
        </is>
      </c>
      <c r="D84" s="2" t="inlineStr"/>
      <c r="E84" s="2" t="inlineStr">
        <is>
          <t>VITERGAN MASTER-N CX 30 COMP REV</t>
        </is>
      </c>
      <c r="F84" s="3" t="n">
        <v>1</v>
      </c>
      <c r="G84" s="3" t="n">
        <v>1</v>
      </c>
      <c r="H84" s="3" t="n">
        <v>1</v>
      </c>
      <c r="I84" s="4" t="n">
        <v>85.7</v>
      </c>
      <c r="J84" s="4">
        <f>G84*I84</f>
        <v/>
      </c>
      <c r="K84" s="4" t="n">
        <v>85.7</v>
      </c>
      <c r="L84" s="4" t="n">
        <v>103.42</v>
      </c>
      <c r="M84" s="4" t="n">
        <v>97.12</v>
      </c>
      <c r="N84" s="5">
        <f>K84/L84-1</f>
        <v/>
      </c>
      <c r="O84" s="6" t="inlineStr">
        <is>
          <t>OK (≤ menor hist.)</t>
        </is>
      </c>
      <c r="P84" s="2" t="inlineStr"/>
    </row>
    <row r="85">
      <c r="A85" s="2" t="inlineStr"/>
      <c r="B85" s="2" t="n">
        <v>261481</v>
      </c>
      <c r="C85" s="2" t="inlineStr">
        <is>
          <t>7897316805442</t>
        </is>
      </c>
      <c r="D85" s="2" t="inlineStr"/>
      <c r="E85" s="2" t="inlineStr">
        <is>
          <t>ZYPRED 3+10MG/ML SUS OFT FR GOT 6ML</t>
        </is>
      </c>
      <c r="F85" s="3" t="n">
        <v>1</v>
      </c>
      <c r="G85" s="3" t="n">
        <v>3</v>
      </c>
      <c r="H85" s="3" t="n">
        <v>3</v>
      </c>
      <c r="I85" s="4" t="n">
        <v>68.62</v>
      </c>
      <c r="J85" s="4">
        <f>G85*I85</f>
        <v/>
      </c>
      <c r="K85" s="4" t="n">
        <v>68.62</v>
      </c>
      <c r="L85" s="4" t="n">
        <v>67.565</v>
      </c>
      <c r="M85" s="4" t="n">
        <v>61.93</v>
      </c>
      <c r="N85" s="5">
        <f>K85/L85-1</f>
        <v/>
      </c>
      <c r="O85" s="7" t="inlineStr">
        <is>
          <t>ACIMA +1.6% (vs últ. compra)</t>
        </is>
      </c>
      <c r="P85" s="2" t="inlineStr"/>
    </row>
    <row r="86">
      <c r="E86" s="8" t="inlineStr">
        <is>
          <t>TOTAL</t>
        </is>
      </c>
      <c r="J86" s="9">
        <f>SUM(J2:J85)</f>
        <v/>
      </c>
    </row>
    <row r="88">
      <c r="A88" s="10" t="inlineStr">
        <is>
          <t>Preços da cotação Tapajós de 04/09/2026. 'Menor hist. (un)' = menor entre melhores 3/6/12 meses; 'Últ. compra (un)' = compra atual. Status OK quando o preço unit. equivalente é ≤ menor histórico ou ≤ última compra. 'Qtd pedido' na base de faturamento do distribuidor (caixa ou unidade); 'Un. totais' = unidades da lista de compra.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2026-09-04T22:08:24Z</dcterms:created>
  <dcterms:modified xsi:type="dcterms:W3CDTF">2026-09-04T22:08:24Z</dcterms:modified>
</cp:coreProperties>
</file>