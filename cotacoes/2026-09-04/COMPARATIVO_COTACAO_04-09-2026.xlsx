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mparativo" sheetId="2" state="visible" r:id="rId2"/>
    <sheet name="Sem_Cota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color rgb="00FFFFFF"/>
    </font>
    <font>
      <name val="Arial"/>
      <b val="1"/>
    </font>
    <font>
      <name val="Arial"/>
      <color theme="1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6" fillId="0" borderId="1" pivotButton="0" quotePrefix="0" xfId="0"/>
    <xf numFmtId="4" fontId="6" fillId="0" borderId="1" pivotButton="0" quotePrefix="0" xfId="0"/>
    <xf numFmtId="0" fontId="5" fillId="0" borderId="1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</cols>
  <sheetData>
    <row r="1">
      <c r="A1" s="1" t="inlineStr">
        <is>
          <t>COTAÇÃO 04/09/2026 — DROGARIA ROCHA — RESUMO</t>
        </is>
      </c>
    </row>
    <row r="3">
      <c r="A3" s="2" t="inlineStr">
        <is>
          <t>Distribuidor</t>
        </is>
      </c>
      <c r="B3" s="2" t="inlineStr">
        <is>
          <t>Itens</t>
        </is>
      </c>
      <c r="C3" s="2" t="inlineStr">
        <is>
          <t>Valor total (R$)</t>
        </is>
      </c>
    </row>
    <row r="4">
      <c r="A4" s="3" t="inlineStr">
        <is>
          <t>ePan</t>
        </is>
      </c>
      <c r="B4" s="3">
        <f>COUNTIF(Comparativo!M:M,"EPAN")</f>
        <v/>
      </c>
      <c r="C4" s="4" t="n">
        <v>7512.270000000003</v>
      </c>
    </row>
    <row r="5">
      <c r="A5" s="3" t="inlineStr">
        <is>
          <t>SB LOG</t>
        </is>
      </c>
      <c r="B5" s="3">
        <f>COUNTIF(Comparativo!M:M,"SB LOG")</f>
        <v/>
      </c>
      <c r="C5" s="4" t="n">
        <v>2865.299999999999</v>
      </c>
    </row>
    <row r="6">
      <c r="A6" s="3" t="inlineStr">
        <is>
          <t>Tapajós</t>
        </is>
      </c>
      <c r="B6" s="3">
        <f>COUNTIF(Comparativo!M:M,"TAPAJOS")</f>
        <v/>
      </c>
      <c r="C6" s="4" t="n">
        <v>11563.09</v>
      </c>
    </row>
    <row r="7">
      <c r="A7" s="3" t="inlineStr">
        <is>
          <t>Nazária</t>
        </is>
      </c>
      <c r="B7" s="3">
        <f>COUNTIF(Comparativo!M:M,"NAZARIA")</f>
        <v/>
      </c>
      <c r="C7" s="4" t="n">
        <v>12388.86115</v>
      </c>
    </row>
    <row r="8">
      <c r="A8" s="3" t="inlineStr">
        <is>
          <t>Sem cotação</t>
        </is>
      </c>
      <c r="B8" s="3">
        <f>COUNTIF(Comparativo!M:M,"SEM COTAÇÃO")</f>
        <v/>
      </c>
      <c r="C8" s="3" t="n"/>
    </row>
    <row r="9">
      <c r="A9" s="3" t="n"/>
      <c r="B9" s="3" t="n"/>
      <c r="C9" s="3" t="n"/>
    </row>
    <row r="10">
      <c r="A10" s="5" t="inlineStr">
        <is>
          <t>Pedidos OL (arquivos separados, sem cotação)</t>
        </is>
      </c>
      <c r="B10" s="3" t="n"/>
      <c r="C10" s="3" t="n"/>
    </row>
    <row r="11">
      <c r="A11" s="3" t="inlineStr">
        <is>
          <t>ACHE</t>
        </is>
      </c>
      <c r="B11" s="3" t="n">
        <v>36</v>
      </c>
      <c r="C11" s="3" t="n"/>
    </row>
    <row r="12">
      <c r="A12" s="3" t="inlineStr">
        <is>
          <t>BIOLAB RX</t>
        </is>
      </c>
      <c r="B12" s="3" t="n">
        <v>9</v>
      </c>
      <c r="C12" s="3" t="n"/>
    </row>
    <row r="13">
      <c r="A13" s="3" t="inlineStr">
        <is>
          <t>HALEON - RX</t>
        </is>
      </c>
      <c r="B13" s="3" t="n">
        <v>22</v>
      </c>
      <c r="C13" s="3" t="n"/>
    </row>
    <row r="14">
      <c r="A14" s="3" t="inlineStr">
        <is>
          <t>HEBRON RX</t>
        </is>
      </c>
      <c r="B14" s="3" t="n">
        <v>11</v>
      </c>
      <c r="C14" s="3" t="n"/>
    </row>
    <row r="15">
      <c r="A15" s="3" t="inlineStr">
        <is>
          <t>HYPERA - ALL</t>
        </is>
      </c>
      <c r="B15" s="3" t="n">
        <v>54</v>
      </c>
      <c r="C15" s="3" t="n"/>
    </row>
    <row r="16">
      <c r="A16" s="3" t="inlineStr">
        <is>
          <t>KLEY HERTZ</t>
        </is>
      </c>
      <c r="B16" s="3" t="n">
        <v>2</v>
      </c>
      <c r="C16" s="3" t="n"/>
    </row>
    <row r="17">
      <c r="A17" s="3" t="inlineStr">
        <is>
          <t>MYRALIS</t>
        </is>
      </c>
      <c r="B17" s="3" t="n">
        <v>3</v>
      </c>
      <c r="C17" s="3" t="n"/>
    </row>
    <row r="18">
      <c r="A18" s="3" t="inlineStr">
        <is>
          <t>NEO QUIMICA - GENERICO</t>
        </is>
      </c>
      <c r="B18" s="3" t="n">
        <v>2</v>
      </c>
      <c r="C18" s="3" t="n"/>
    </row>
    <row r="19">
      <c r="A19" s="3" t="inlineStr">
        <is>
          <t>OPELLA</t>
        </is>
      </c>
      <c r="B19" s="3" t="n">
        <v>7</v>
      </c>
      <c r="C19" s="3" t="n"/>
    </row>
    <row r="20">
      <c r="A20" s="3" t="inlineStr">
        <is>
          <t>RECKIT GERAL - ELIANE</t>
        </is>
      </c>
      <c r="B20" s="3" t="n">
        <v>1</v>
      </c>
      <c r="C20" s="3" t="n"/>
    </row>
    <row r="21">
      <c r="A21" s="3" t="inlineStr">
        <is>
          <t>UNIAO QUIMICA (GENOM) RX</t>
        </is>
      </c>
      <c r="B21" s="3" t="n">
        <v>17</v>
      </c>
      <c r="C21" s="3" t="n"/>
    </row>
    <row r="22">
      <c r="A22" s="3" t="n"/>
      <c r="B22" s="3" t="n"/>
      <c r="C22" s="3" t="n"/>
    </row>
    <row r="23">
      <c r="A23" s="6" t="inlineStr">
        <is>
          <t>Obs: valores 'Valor total' calculados sobre preço cotado × qtd na base de faturamento de cada distribuidor.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7" customWidth="1" min="4" max="4"/>
    <col width="7" customWidth="1" min="5" max="5"/>
    <col width="9" customWidth="1" min="6" max="6"/>
    <col width="11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1" customWidth="1" min="14" max="14"/>
    <col width="10" customWidth="1" min="15" max="15"/>
    <col width="20" customWidth="1" min="16" max="16"/>
    <col width="30" customWidth="1" min="17" max="17"/>
  </cols>
  <sheetData>
    <row r="1" ht="28" customHeight="1">
      <c r="A1" s="7" t="inlineStr">
        <is>
          <t>Cód. interno</t>
        </is>
      </c>
      <c r="B1" s="7" t="inlineStr">
        <is>
          <t>EAN princ.</t>
        </is>
      </c>
      <c r="C1" s="7" t="inlineStr">
        <is>
          <t>Produto</t>
        </is>
      </c>
      <c r="D1" s="7" t="inlineStr">
        <is>
          <t>Un/Cx</t>
        </is>
      </c>
      <c r="E1" s="7" t="inlineStr">
        <is>
          <t>Caixas</t>
        </is>
      </c>
      <c r="F1" s="7" t="inlineStr">
        <is>
          <t>Un. compradas</t>
        </is>
      </c>
      <c r="G1" s="7" t="inlineStr">
        <is>
          <t>Últ. compra (un)</t>
        </is>
      </c>
      <c r="H1" s="7" t="inlineStr">
        <is>
          <t>Menor hist. (un)</t>
        </is>
      </c>
      <c r="I1" s="7" t="inlineStr">
        <is>
          <t>ePan (un)</t>
        </is>
      </c>
      <c r="J1" s="7" t="inlineStr">
        <is>
          <t>SB LOG (un)</t>
        </is>
      </c>
      <c r="K1" s="7" t="inlineStr">
        <is>
          <t>Tapajós (un)</t>
        </is>
      </c>
      <c r="L1" s="7" t="inlineStr">
        <is>
          <t>Nazária (un)</t>
        </is>
      </c>
      <c r="M1" s="7" t="inlineStr">
        <is>
          <t>Vencedor</t>
        </is>
      </c>
      <c r="N1" s="7" t="inlineStr">
        <is>
          <t>Preço venc. (un)</t>
        </is>
      </c>
      <c r="O1" s="7" t="inlineStr">
        <is>
          <t>Dif. vs últ. compra</t>
        </is>
      </c>
      <c r="P1" s="7" t="inlineStr">
        <is>
          <t>Status</t>
        </is>
      </c>
      <c r="Q1" s="7" t="inlineStr">
        <is>
          <t>Obs</t>
        </is>
      </c>
    </row>
    <row r="2">
      <c r="A2" s="8" t="n">
        <v>674181</v>
      </c>
      <c r="B2" s="8" t="inlineStr">
        <is>
          <t>7891317049225</t>
        </is>
      </c>
      <c r="C2" s="8" t="inlineStr">
        <is>
          <t>10BI IMUNE C/30CP-DEMAIS PROD</t>
        </is>
      </c>
      <c r="D2" s="9" t="n">
        <v>1</v>
      </c>
      <c r="E2" s="9" t="n">
        <v>1</v>
      </c>
      <c r="F2" s="9" t="n">
        <v>1</v>
      </c>
      <c r="G2" s="10" t="n">
        <v>125.7</v>
      </c>
      <c r="H2" s="10" t="n">
        <v>118.3</v>
      </c>
      <c r="I2" s="10" t="n"/>
      <c r="J2" s="10" t="n">
        <v>156.4</v>
      </c>
      <c r="K2" s="10" t="n">
        <v>119.3</v>
      </c>
      <c r="L2" s="10" t="n">
        <v>141.168</v>
      </c>
      <c r="M2" s="8" t="inlineStr">
        <is>
          <t>TAPAJOS</t>
        </is>
      </c>
      <c r="N2" s="10" t="n">
        <v>119.3</v>
      </c>
      <c r="O2" s="11">
        <f>N2/G2-1</f>
        <v/>
      </c>
      <c r="P2" s="12" t="inlineStr">
        <is>
          <t>OK (≤ últ. compra)</t>
        </is>
      </c>
      <c r="Q2" s="8" t="inlineStr"/>
    </row>
    <row r="3">
      <c r="A3" s="8" t="n">
        <v>274461</v>
      </c>
      <c r="B3" s="8" t="inlineStr">
        <is>
          <t>7898040320973</t>
        </is>
      </c>
      <c r="C3" s="8" t="inlineStr">
        <is>
          <t>ABRILAR 7MG XPE FR 100ML+CM</t>
        </is>
      </c>
      <c r="D3" s="9" t="n">
        <v>1</v>
      </c>
      <c r="E3" s="9" t="n">
        <v>3</v>
      </c>
      <c r="F3" s="9" t="n">
        <v>3</v>
      </c>
      <c r="G3" s="10" t="n">
        <v>42.64</v>
      </c>
      <c r="H3" s="10" t="n">
        <v>33.1775</v>
      </c>
      <c r="I3" s="10" t="n">
        <v>43.09</v>
      </c>
      <c r="J3" s="10" t="n">
        <v>41.9</v>
      </c>
      <c r="K3" s="10" t="n"/>
      <c r="L3" s="10" t="n">
        <v>41.0305</v>
      </c>
      <c r="M3" s="8" t="inlineStr">
        <is>
          <t>NAZARIA</t>
        </is>
      </c>
      <c r="N3" s="10" t="n">
        <v>41.0305</v>
      </c>
      <c r="O3" s="11">
        <f>N3/G3-1</f>
        <v/>
      </c>
      <c r="P3" s="12" t="inlineStr">
        <is>
          <t>OK (≤ últ. compra)</t>
        </is>
      </c>
      <c r="Q3" s="8" t="inlineStr"/>
    </row>
    <row r="4">
      <c r="A4" s="8" t="n">
        <v>25403</v>
      </c>
      <c r="B4" s="8" t="inlineStr">
        <is>
          <t>7897211100482</t>
        </is>
      </c>
      <c r="C4" s="8" t="inlineStr">
        <is>
          <t>ABS P/SEIOS AMAME DIA&amp;NOITE C/24-DEMAIS PROD</t>
        </is>
      </c>
      <c r="D4" s="9" t="n">
        <v>1</v>
      </c>
      <c r="E4" s="9" t="n">
        <v>2</v>
      </c>
      <c r="F4" s="9" t="n">
        <v>2</v>
      </c>
      <c r="G4" s="10" t="n">
        <v>21.76</v>
      </c>
      <c r="H4" s="10" t="n">
        <v>17.955</v>
      </c>
      <c r="I4" s="10" t="n">
        <v>16.92</v>
      </c>
      <c r="J4" s="10" t="n"/>
      <c r="K4" s="10" t="n"/>
      <c r="L4" s="10" t="n"/>
      <c r="M4" s="8" t="inlineStr">
        <is>
          <t>EPAN</t>
        </is>
      </c>
      <c r="N4" s="10" t="n">
        <v>16.92</v>
      </c>
      <c r="O4" s="11">
        <f>N4/G4-1</f>
        <v/>
      </c>
      <c r="P4" s="12" t="inlineStr">
        <is>
          <t>OK (≤ menor hist.)</t>
        </is>
      </c>
      <c r="Q4" s="8" t="inlineStr"/>
    </row>
    <row r="5">
      <c r="A5" s="8" t="n">
        <v>621421</v>
      </c>
      <c r="B5" s="8" t="inlineStr">
        <is>
          <t>3282770206050</t>
        </is>
      </c>
      <c r="C5" s="8" t="inlineStr">
        <is>
          <t>ACTINE PROT SOLAR FPS60 COR 40G</t>
        </is>
      </c>
      <c r="D5" s="9" t="n">
        <v>1</v>
      </c>
      <c r="E5" s="9" t="n">
        <v>1</v>
      </c>
      <c r="F5" s="9" t="n">
        <v>1</v>
      </c>
      <c r="G5" s="10" t="n">
        <v>54.91</v>
      </c>
      <c r="H5" s="10" t="n">
        <v>54.91</v>
      </c>
      <c r="I5" s="10" t="n"/>
      <c r="J5" s="10" t="n"/>
      <c r="K5" s="10" t="n"/>
      <c r="L5" s="10" t="n">
        <v>67.03</v>
      </c>
      <c r="M5" s="8" t="inlineStr">
        <is>
          <t>NAZARIA</t>
        </is>
      </c>
      <c r="N5" s="10" t="n">
        <v>67.03</v>
      </c>
      <c r="O5" s="11">
        <f>N5/G5-1</f>
        <v/>
      </c>
      <c r="P5" s="13" t="inlineStr">
        <is>
          <t>ACIMA +22.1% (vs últ. compra)</t>
        </is>
      </c>
      <c r="Q5" s="8" t="inlineStr"/>
    </row>
    <row r="6">
      <c r="A6" s="8" t="n">
        <v>642771</v>
      </c>
      <c r="B6" s="8" t="inlineStr">
        <is>
          <t>7892828001016</t>
        </is>
      </c>
      <c r="C6" s="8" t="inlineStr">
        <is>
          <t>ADEFORTE ORAL 01 AMP</t>
        </is>
      </c>
      <c r="D6" s="9" t="n">
        <v>1</v>
      </c>
      <c r="E6" s="9" t="n">
        <v>2</v>
      </c>
      <c r="F6" s="9" t="n">
        <v>2</v>
      </c>
      <c r="G6" s="10" t="n">
        <v>24.86</v>
      </c>
      <c r="H6" s="10" t="n">
        <v>17.3474</v>
      </c>
      <c r="I6" s="10" t="n">
        <v>21.42</v>
      </c>
      <c r="J6" s="10" t="n">
        <v>22.7</v>
      </c>
      <c r="K6" s="10" t="n"/>
      <c r="L6" s="10" t="n">
        <v>28</v>
      </c>
      <c r="M6" s="8" t="inlineStr">
        <is>
          <t>EPAN</t>
        </is>
      </c>
      <c r="N6" s="10" t="n">
        <v>21.42</v>
      </c>
      <c r="O6" s="11">
        <f>N6/G6-1</f>
        <v/>
      </c>
      <c r="P6" s="12" t="inlineStr">
        <is>
          <t>OK (≤ últ. compra)</t>
        </is>
      </c>
      <c r="Q6" s="8" t="inlineStr"/>
    </row>
    <row r="7">
      <c r="A7" s="8" t="n">
        <v>884</v>
      </c>
      <c r="B7" s="8" t="inlineStr">
        <is>
          <t>7892828002303</t>
        </is>
      </c>
      <c r="C7" s="8" t="inlineStr">
        <is>
          <t>ADEFORTE TURBO USO ORAL 2AMP 3ML</t>
        </is>
      </c>
      <c r="D7" s="9" t="n">
        <v>1</v>
      </c>
      <c r="E7" s="9" t="n">
        <v>8</v>
      </c>
      <c r="F7" s="9" t="n">
        <v>8</v>
      </c>
      <c r="G7" s="10" t="n">
        <v>44.79</v>
      </c>
      <c r="H7" s="10" t="n">
        <v>30.3708</v>
      </c>
      <c r="I7" s="10" t="n"/>
      <c r="J7" s="10" t="n"/>
      <c r="K7" s="10" t="n"/>
      <c r="L7" s="10" t="n">
        <v>44.79</v>
      </c>
      <c r="M7" s="8" t="inlineStr">
        <is>
          <t>NAZARIA</t>
        </is>
      </c>
      <c r="N7" s="10" t="n">
        <v>44.79</v>
      </c>
      <c r="O7" s="11">
        <f>N7/G7-1</f>
        <v/>
      </c>
      <c r="P7" s="12" t="inlineStr">
        <is>
          <t>OK (≤ últ. compra)</t>
        </is>
      </c>
      <c r="Q7" s="8" t="inlineStr"/>
    </row>
    <row r="8">
      <c r="A8" s="8" t="n">
        <v>647221</v>
      </c>
      <c r="B8" s="8" t="inlineStr">
        <is>
          <t>7896023705397</t>
        </is>
      </c>
      <c r="C8" s="8" t="inlineStr">
        <is>
          <t>AGUA INGLESA 500ML</t>
        </is>
      </c>
      <c r="D8" s="9" t="n">
        <v>1</v>
      </c>
      <c r="E8" s="9" t="n">
        <v>4</v>
      </c>
      <c r="F8" s="9" t="n">
        <v>4</v>
      </c>
      <c r="G8" s="10" t="n">
        <v>22.12</v>
      </c>
      <c r="H8" s="10" t="n">
        <v>22.12</v>
      </c>
      <c r="I8" s="10" t="n"/>
      <c r="J8" s="10" t="n"/>
      <c r="K8" s="10" t="n"/>
      <c r="L8" s="10" t="n">
        <v>25.83</v>
      </c>
      <c r="M8" s="8" t="inlineStr">
        <is>
          <t>NAZARIA</t>
        </is>
      </c>
      <c r="N8" s="10" t="n">
        <v>25.83</v>
      </c>
      <c r="O8" s="11">
        <f>N8/G8-1</f>
        <v/>
      </c>
      <c r="P8" s="13" t="inlineStr">
        <is>
          <t>ACIMA +16.8% (vs últ. compra)</t>
        </is>
      </c>
      <c r="Q8" s="8" t="inlineStr"/>
    </row>
    <row r="9">
      <c r="A9" s="8" t="n">
        <v>367361</v>
      </c>
      <c r="B9" s="8" t="inlineStr">
        <is>
          <t>7891721023965</t>
        </is>
      </c>
      <c r="C9" s="8" t="inlineStr">
        <is>
          <t>ALGINAC 1,0+100,0+100,0MG CX 10 COMP REV LIB RETARD</t>
        </is>
      </c>
      <c r="D9" s="9" t="n">
        <v>1</v>
      </c>
      <c r="E9" s="9" t="n">
        <v>4</v>
      </c>
      <c r="F9" s="9" t="n">
        <v>4</v>
      </c>
      <c r="G9" s="10" t="n">
        <v>51.9466666666667</v>
      </c>
      <c r="H9" s="10" t="n">
        <v>43.42</v>
      </c>
      <c r="I9" s="10" t="n"/>
      <c r="J9" s="10" t="n">
        <v>51.1</v>
      </c>
      <c r="K9" s="10" t="n"/>
      <c r="L9" s="10" t="n">
        <v>51.0968</v>
      </c>
      <c r="M9" s="8" t="inlineStr">
        <is>
          <t>NAZARIA</t>
        </is>
      </c>
      <c r="N9" s="10" t="n">
        <v>51.0968</v>
      </c>
      <c r="O9" s="11">
        <f>N9/G9-1</f>
        <v/>
      </c>
      <c r="P9" s="12" t="inlineStr">
        <is>
          <t>OK (≤ últ. compra)</t>
        </is>
      </c>
      <c r="Q9" s="8" t="inlineStr"/>
    </row>
    <row r="10">
      <c r="A10" s="8" t="n">
        <v>367421</v>
      </c>
      <c r="B10" s="8" t="inlineStr">
        <is>
          <t>7891721029646</t>
        </is>
      </c>
      <c r="C10" s="8" t="inlineStr">
        <is>
          <t>ALGINAC 1,0+50,0+50,0MG CX 30 CP</t>
        </is>
      </c>
      <c r="D10" s="9" t="n">
        <v>1</v>
      </c>
      <c r="E10" s="9" t="n">
        <v>1</v>
      </c>
      <c r="F10" s="9" t="n">
        <v>1</v>
      </c>
      <c r="G10" s="10" t="n">
        <v>50.34</v>
      </c>
      <c r="H10" s="10" t="n">
        <v>45.91</v>
      </c>
      <c r="I10" s="10" t="n"/>
      <c r="J10" s="10" t="n">
        <v>52.1</v>
      </c>
      <c r="K10" s="10" t="n"/>
      <c r="L10" s="10" t="n">
        <v>52.0812</v>
      </c>
      <c r="M10" s="8" t="inlineStr">
        <is>
          <t>NAZARIA</t>
        </is>
      </c>
      <c r="N10" s="10" t="n">
        <v>52.0812</v>
      </c>
      <c r="O10" s="11">
        <f>N10/G10-1</f>
        <v/>
      </c>
      <c r="P10" s="13" t="inlineStr">
        <is>
          <t>ACIMA +3.5% (vs últ. compra)</t>
        </is>
      </c>
      <c r="Q10" s="8" t="inlineStr"/>
    </row>
    <row r="11">
      <c r="A11" s="8" t="n">
        <v>71981</v>
      </c>
      <c r="B11" s="8" t="inlineStr">
        <is>
          <t>7896676414639</t>
        </is>
      </c>
      <c r="C11" s="8" t="inlineStr">
        <is>
          <t>ANA-FLEX 35+300+50MG CX 200 COMP</t>
        </is>
      </c>
      <c r="D11" s="9" t="n">
        <v>20</v>
      </c>
      <c r="E11" s="9" t="n">
        <v>1</v>
      </c>
      <c r="F11" s="9" t="n">
        <v>20</v>
      </c>
      <c r="G11" s="10" t="n">
        <v>4.9505</v>
      </c>
      <c r="H11" s="10" t="n">
        <v>4.9505</v>
      </c>
      <c r="I11" s="10" t="n"/>
      <c r="J11" s="10" t="n"/>
      <c r="K11" s="10" t="n"/>
      <c r="L11" s="10" t="n"/>
      <c r="M11" s="8" t="inlineStr">
        <is>
          <t>SEM COTAÇÃO</t>
        </is>
      </c>
      <c r="N11" s="10" t="n"/>
      <c r="O11" s="11" t="n"/>
      <c r="P11" s="8" t="inlineStr"/>
      <c r="Q11" s="8" t="inlineStr"/>
    </row>
    <row r="12">
      <c r="A12" s="8" t="n">
        <v>469661</v>
      </c>
      <c r="B12" s="8" t="inlineStr">
        <is>
          <t>7891317013967</t>
        </is>
      </c>
      <c r="C12" s="8" t="inlineStr">
        <is>
          <t>ANDOLBA 4,5%+0,5%+0,5% AER TOP TB 43G</t>
        </is>
      </c>
      <c r="D12" s="9" t="n">
        <v>1</v>
      </c>
      <c r="E12" s="9" t="n">
        <v>2</v>
      </c>
      <c r="F12" s="9" t="n">
        <v>2</v>
      </c>
      <c r="G12" s="10" t="n">
        <v>28.045</v>
      </c>
      <c r="H12" s="10" t="n">
        <v>28.04</v>
      </c>
      <c r="I12" s="10" t="n"/>
      <c r="J12" s="10" t="n"/>
      <c r="K12" s="10" t="n">
        <v>30.01</v>
      </c>
      <c r="L12" s="10" t="n"/>
      <c r="M12" s="8" t="inlineStr">
        <is>
          <t>TAPAJOS</t>
        </is>
      </c>
      <c r="N12" s="10" t="n">
        <v>30.01</v>
      </c>
      <c r="O12" s="11">
        <f>N12/G12-1</f>
        <v/>
      </c>
      <c r="P12" s="13" t="inlineStr">
        <is>
          <t>ACIMA +7.0% (vs últ. compra)</t>
        </is>
      </c>
      <c r="Q12" s="8" t="inlineStr"/>
    </row>
    <row r="13">
      <c r="A13" s="8" t="n">
        <v>364361</v>
      </c>
      <c r="B13" s="8" t="inlineStr">
        <is>
          <t>7898040321420</t>
        </is>
      </c>
      <c r="C13" s="8" t="inlineStr">
        <is>
          <t>ANNITA 20MG/ML PO SUS ORAL FR 45ML</t>
        </is>
      </c>
      <c r="D13" s="9" t="n">
        <v>1</v>
      </c>
      <c r="E13" s="9" t="n">
        <v>2</v>
      </c>
      <c r="F13" s="9" t="n">
        <v>2</v>
      </c>
      <c r="G13" s="10" t="n">
        <v>25.125</v>
      </c>
      <c r="H13" s="10" t="n">
        <v>21.8625</v>
      </c>
      <c r="I13" s="10" t="n">
        <v>25.13</v>
      </c>
      <c r="J13" s="10" t="n">
        <v>24.9</v>
      </c>
      <c r="K13" s="10" t="n">
        <v>24.6</v>
      </c>
      <c r="L13" s="10" t="n">
        <v>24.434</v>
      </c>
      <c r="M13" s="8" t="inlineStr">
        <is>
          <t>NAZARIA</t>
        </is>
      </c>
      <c r="N13" s="10" t="n">
        <v>24.434</v>
      </c>
      <c r="O13" s="11">
        <f>N13/G13-1</f>
        <v/>
      </c>
      <c r="P13" s="12" t="inlineStr">
        <is>
          <t>OK (≤ últ. compra)</t>
        </is>
      </c>
      <c r="Q13" s="8" t="inlineStr"/>
    </row>
    <row r="14">
      <c r="A14" s="8" t="n">
        <v>131861</v>
      </c>
      <c r="B14" s="8" t="inlineStr">
        <is>
          <t>7896094200227</t>
        </is>
      </c>
      <c r="C14" s="8" t="inlineStr">
        <is>
          <t>ANSITEC 5MG CX 20 COMP</t>
        </is>
      </c>
      <c r="D14" s="9" t="n">
        <v>1</v>
      </c>
      <c r="E14" s="9" t="n">
        <v>1</v>
      </c>
      <c r="F14" s="9" t="n">
        <v>1</v>
      </c>
      <c r="G14" s="10" t="n">
        <v>27.07</v>
      </c>
      <c r="H14" s="10" t="n">
        <v>27.07</v>
      </c>
      <c r="I14" s="10" t="n"/>
      <c r="J14" s="10" t="n"/>
      <c r="K14" s="10" t="n"/>
      <c r="L14" s="10" t="n"/>
      <c r="M14" s="8" t="inlineStr">
        <is>
          <t>SEM COTAÇÃO</t>
        </is>
      </c>
      <c r="N14" s="10" t="n"/>
      <c r="O14" s="11" t="n"/>
      <c r="P14" s="8" t="inlineStr"/>
      <c r="Q14" s="8" t="inlineStr"/>
    </row>
    <row r="15">
      <c r="A15" s="8" t="n">
        <v>624171</v>
      </c>
      <c r="B15" s="8" t="inlineStr">
        <is>
          <t>7899706195089</t>
        </is>
      </c>
      <c r="C15" s="8" t="inlineStr">
        <is>
          <t>ANTHELIOS LRP AIRLIC FL FPS50 S/COR 40ML</t>
        </is>
      </c>
      <c r="D15" s="9" t="n">
        <v>1</v>
      </c>
      <c r="E15" s="9" t="n">
        <v>1</v>
      </c>
      <c r="F15" s="9" t="n">
        <v>1</v>
      </c>
      <c r="G15" s="10" t="n">
        <v>88.16</v>
      </c>
      <c r="H15" s="10" t="n">
        <v>88.16</v>
      </c>
      <c r="I15" s="10" t="n"/>
      <c r="J15" s="10" t="n"/>
      <c r="K15" s="10" t="n"/>
      <c r="L15" s="10" t="n"/>
      <c r="M15" s="8" t="inlineStr">
        <is>
          <t>SEM COTAÇÃO</t>
        </is>
      </c>
      <c r="N15" s="10" t="n"/>
      <c r="O15" s="11" t="n"/>
      <c r="P15" s="8" t="inlineStr"/>
      <c r="Q15" s="8" t="inlineStr"/>
    </row>
    <row r="16">
      <c r="A16" s="8" t="n">
        <v>618051</v>
      </c>
      <c r="B16" s="8" t="inlineStr">
        <is>
          <t>7908615030098</t>
        </is>
      </c>
      <c r="C16" s="8" t="inlineStr">
        <is>
          <t>ANTHELIOS LRP AIRLIC FPS70 2.0 40G+NECESSARIE</t>
        </is>
      </c>
      <c r="D16" s="9" t="n">
        <v>1</v>
      </c>
      <c r="E16" s="9" t="n">
        <v>1</v>
      </c>
      <c r="F16" s="9" t="n">
        <v>1</v>
      </c>
      <c r="G16" s="10" t="n">
        <v>75.47499999999999</v>
      </c>
      <c r="H16" s="10" t="n">
        <v>75.47499999999999</v>
      </c>
      <c r="I16" s="10" t="n"/>
      <c r="J16" s="10" t="n"/>
      <c r="K16" s="10" t="n"/>
      <c r="L16" s="10" t="n"/>
      <c r="M16" s="8" t="inlineStr">
        <is>
          <t>SEM COTAÇÃO</t>
        </is>
      </c>
      <c r="N16" s="10" t="n"/>
      <c r="O16" s="11" t="n"/>
      <c r="P16" s="8" t="inlineStr"/>
      <c r="Q16" s="8" t="inlineStr"/>
    </row>
    <row r="17">
      <c r="A17" s="8" t="n">
        <v>648861</v>
      </c>
      <c r="B17" s="8" t="inlineStr">
        <is>
          <t>7908615038384</t>
        </is>
      </c>
      <c r="C17" s="8" t="inlineStr">
        <is>
          <t>ANTHELIOS LRP AIRLIC+FLUIDO FPS50+EFFACL CONC 50G</t>
        </is>
      </c>
      <c r="D17" s="9" t="n">
        <v>1</v>
      </c>
      <c r="E17" s="9" t="n">
        <v>1</v>
      </c>
      <c r="F17" s="9" t="n">
        <v>1</v>
      </c>
      <c r="G17" s="10" t="n">
        <v>112.82</v>
      </c>
      <c r="H17" s="10" t="n">
        <v>112.82</v>
      </c>
      <c r="I17" s="10" t="n"/>
      <c r="J17" s="10" t="n"/>
      <c r="K17" s="10" t="n"/>
      <c r="L17" s="10" t="n">
        <v>110.51</v>
      </c>
      <c r="M17" s="8" t="inlineStr">
        <is>
          <t>SEM COTAÇÃO</t>
        </is>
      </c>
      <c r="N17" s="10" t="n"/>
      <c r="O17" s="11" t="n"/>
      <c r="P17" s="8" t="inlineStr"/>
      <c r="Q17" s="8" t="inlineStr">
        <is>
          <t>sem estoque na Nazária</t>
        </is>
      </c>
    </row>
    <row r="18">
      <c r="A18" s="8" t="n">
        <v>666011</v>
      </c>
      <c r="B18" s="8" t="inlineStr">
        <is>
          <t>7898639690586</t>
        </is>
      </c>
      <c r="C18" s="8" t="inlineStr">
        <is>
          <t>APAR PRES DIG HOME GP200 G-TECH-DEMAIS PROD</t>
        </is>
      </c>
      <c r="D18" s="9" t="n">
        <v>1</v>
      </c>
      <c r="E18" s="9" t="n">
        <v>2</v>
      </c>
      <c r="F18" s="9" t="n">
        <v>2</v>
      </c>
      <c r="G18" s="10" t="n">
        <v>73.0383333333333</v>
      </c>
      <c r="H18" s="10" t="n">
        <v>73.03830000000001</v>
      </c>
      <c r="I18" s="10" t="n"/>
      <c r="J18" s="10" t="n"/>
      <c r="K18" s="10" t="n"/>
      <c r="L18" s="10" t="n"/>
      <c r="M18" s="8" t="inlineStr">
        <is>
          <t>SEM COTAÇÃO</t>
        </is>
      </c>
      <c r="N18" s="10" t="n"/>
      <c r="O18" s="11" t="n"/>
      <c r="P18" s="8" t="inlineStr"/>
      <c r="Q18" s="8" t="inlineStr"/>
    </row>
    <row r="19">
      <c r="A19" s="8" t="n">
        <v>149921</v>
      </c>
      <c r="B19" s="8" t="inlineStr">
        <is>
          <t>7896261018181</t>
        </is>
      </c>
      <c r="C19" s="8" t="inlineStr">
        <is>
          <t>APRESOLINA 25MG CX 20 DRG</t>
        </is>
      </c>
      <c r="D19" s="9" t="n">
        <v>1</v>
      </c>
      <c r="E19" s="9" t="n">
        <v>1</v>
      </c>
      <c r="F19" s="9" t="n">
        <v>1</v>
      </c>
      <c r="G19" s="10" t="n">
        <v>7.963125</v>
      </c>
      <c r="H19" s="10" t="n">
        <v>6.64</v>
      </c>
      <c r="I19" s="10" t="n"/>
      <c r="J19" s="10" t="n"/>
      <c r="K19" s="10" t="n">
        <v>7.43</v>
      </c>
      <c r="L19" s="10" t="n"/>
      <c r="M19" s="8" t="inlineStr">
        <is>
          <t>TAPAJOS</t>
        </is>
      </c>
      <c r="N19" s="10" t="n">
        <v>7.43</v>
      </c>
      <c r="O19" s="11">
        <f>N19/G19-1</f>
        <v/>
      </c>
      <c r="P19" s="12" t="inlineStr">
        <is>
          <t>OK (≤ últ. compra)</t>
        </is>
      </c>
      <c r="Q19" s="8" t="inlineStr"/>
    </row>
    <row r="20">
      <c r="A20" s="8" t="n">
        <v>619611</v>
      </c>
      <c r="B20" s="8" t="inlineStr">
        <is>
          <t>7898636190720</t>
        </is>
      </c>
      <c r="C20" s="8" t="inlineStr">
        <is>
          <t>ASEPXIA PO COMPA MARFIM 10G</t>
        </is>
      </c>
      <c r="D20" s="9" t="n">
        <v>1</v>
      </c>
      <c r="E20" s="9" t="n">
        <v>1</v>
      </c>
      <c r="F20" s="9" t="n">
        <v>1</v>
      </c>
      <c r="G20" s="10" t="n">
        <v>36.43</v>
      </c>
      <c r="H20" s="10" t="n">
        <v>36.43</v>
      </c>
      <c r="I20" s="10" t="n"/>
      <c r="J20" s="10" t="n"/>
      <c r="K20" s="10" t="n"/>
      <c r="L20" s="10" t="n"/>
      <c r="M20" s="8" t="inlineStr">
        <is>
          <t>SEM COTAÇÃO</t>
        </is>
      </c>
      <c r="N20" s="10" t="n"/>
      <c r="O20" s="11" t="n"/>
      <c r="P20" s="8" t="inlineStr"/>
      <c r="Q20" s="8" t="inlineStr"/>
    </row>
    <row r="21">
      <c r="A21" s="8" t="n">
        <v>13901</v>
      </c>
      <c r="B21" s="8" t="inlineStr">
        <is>
          <t>7793640000143</t>
        </is>
      </c>
      <c r="C21" s="8" t="inlineStr">
        <is>
          <t>ASPIRINA 500MG BL X 20 COMP</t>
        </is>
      </c>
      <c r="D21" s="9" t="n">
        <v>1</v>
      </c>
      <c r="E21" s="9" t="n">
        <v>4</v>
      </c>
      <c r="F21" s="9" t="n">
        <v>4</v>
      </c>
      <c r="G21" s="10" t="n">
        <v>13.25</v>
      </c>
      <c r="H21" s="10" t="n">
        <v>12.36</v>
      </c>
      <c r="I21" s="10" t="n"/>
      <c r="J21" s="10" t="n">
        <v>13.5</v>
      </c>
      <c r="K21" s="10" t="n"/>
      <c r="L21" s="10" t="n">
        <v>13.95</v>
      </c>
      <c r="M21" s="8" t="inlineStr">
        <is>
          <t>SB LOG</t>
        </is>
      </c>
      <c r="N21" s="10" t="n">
        <v>13.5</v>
      </c>
      <c r="O21" s="11">
        <f>N21/G21-1</f>
        <v/>
      </c>
      <c r="P21" s="13" t="inlineStr">
        <is>
          <t>ACIMA +1.9% (vs últ. compra)</t>
        </is>
      </c>
      <c r="Q21" s="8" t="inlineStr"/>
    </row>
    <row r="22">
      <c r="A22" s="8" t="n">
        <v>13921</v>
      </c>
      <c r="B22" s="8" t="inlineStr">
        <is>
          <t>7891106915175</t>
        </is>
      </c>
      <c r="C22" s="8" t="inlineStr">
        <is>
          <t>ASPIRINA 500MG CX 100 COMP ACLAR</t>
        </is>
      </c>
      <c r="D22" s="9" t="n">
        <v>10</v>
      </c>
      <c r="E22" s="9" t="n">
        <v>1</v>
      </c>
      <c r="F22" s="9" t="n">
        <v>10</v>
      </c>
      <c r="G22" s="10" t="n">
        <v>8.422000000000001</v>
      </c>
      <c r="H22" s="10" t="n">
        <v>7.2447</v>
      </c>
      <c r="I22" s="10" t="n"/>
      <c r="J22" s="10" t="n"/>
      <c r="K22" s="10" t="n"/>
      <c r="L22" s="10" t="n"/>
      <c r="M22" s="8" t="inlineStr">
        <is>
          <t>SEM COTAÇÃO</t>
        </is>
      </c>
      <c r="N22" s="10" t="n"/>
      <c r="O22" s="11" t="n"/>
      <c r="P22" s="8" t="inlineStr"/>
      <c r="Q22" s="8" t="inlineStr"/>
    </row>
    <row r="23">
      <c r="A23" s="8" t="n">
        <v>13301</v>
      </c>
      <c r="B23" s="8" t="inlineStr">
        <is>
          <t>7891106001946</t>
        </is>
      </c>
      <c r="C23" s="8" t="inlineStr">
        <is>
          <t>ASPIRINA PREVENT 100MG CX 30 COMP REV</t>
        </is>
      </c>
      <c r="D23" s="9" t="n">
        <v>1</v>
      </c>
      <c r="E23" s="9" t="n">
        <v>1</v>
      </c>
      <c r="F23" s="9" t="n">
        <v>1</v>
      </c>
      <c r="G23" s="10" t="n">
        <v>17.626</v>
      </c>
      <c r="H23" s="10" t="n">
        <v>16.8067</v>
      </c>
      <c r="I23" s="10" t="n">
        <v>17.62</v>
      </c>
      <c r="J23" s="10" t="n"/>
      <c r="K23" s="10" t="n"/>
      <c r="L23" s="10" t="n">
        <v>18.68</v>
      </c>
      <c r="M23" s="8" t="inlineStr">
        <is>
          <t>EPAN</t>
        </is>
      </c>
      <c r="N23" s="10" t="n">
        <v>17.62</v>
      </c>
      <c r="O23" s="11">
        <f>N23/G23-1</f>
        <v/>
      </c>
      <c r="P23" s="12" t="inlineStr">
        <is>
          <t>OK (≤ últ. compra)</t>
        </is>
      </c>
      <c r="Q23" s="8" t="inlineStr"/>
    </row>
    <row r="24">
      <c r="A24" s="8" t="n">
        <v>47321</v>
      </c>
      <c r="B24" s="8" t="inlineStr">
        <is>
          <t>7891317412692</t>
        </is>
      </c>
      <c r="C24" s="8" t="inlineStr">
        <is>
          <t>ASTRO 600MG CX 1FA+DIL</t>
        </is>
      </c>
      <c r="D24" s="9" t="n">
        <v>1</v>
      </c>
      <c r="E24" s="9" t="n">
        <v>2</v>
      </c>
      <c r="F24" s="9" t="n">
        <v>2</v>
      </c>
      <c r="G24" s="10" t="n">
        <v>38.26</v>
      </c>
      <c r="H24" s="10" t="n">
        <v>38.26</v>
      </c>
      <c r="I24" s="10" t="n"/>
      <c r="J24" s="10" t="n">
        <v>43.3</v>
      </c>
      <c r="K24" s="10" t="n">
        <v>41.97</v>
      </c>
      <c r="L24" s="10" t="n">
        <v>42.8736</v>
      </c>
      <c r="M24" s="8" t="inlineStr">
        <is>
          <t>TAPAJOS</t>
        </is>
      </c>
      <c r="N24" s="10" t="n">
        <v>41.97</v>
      </c>
      <c r="O24" s="11">
        <f>N24/G24-1</f>
        <v/>
      </c>
      <c r="P24" s="13" t="inlineStr">
        <is>
          <t>ACIMA +9.7% (vs últ. compra)</t>
        </is>
      </c>
      <c r="Q24" s="8" t="inlineStr"/>
    </row>
    <row r="25">
      <c r="A25" s="8" t="n">
        <v>594191</v>
      </c>
      <c r="B25" s="8" t="inlineStr">
        <is>
          <t>7891317014162</t>
        </is>
      </c>
      <c r="C25" s="8" t="inlineStr">
        <is>
          <t>ATAK CLAV 875+125MG CX 14 COMP REV</t>
        </is>
      </c>
      <c r="D25" s="9" t="n">
        <v>1</v>
      </c>
      <c r="E25" s="9" t="n">
        <v>1</v>
      </c>
      <c r="F25" s="9" t="n">
        <v>1</v>
      </c>
      <c r="G25" s="10" t="n">
        <v>66.98999999999999</v>
      </c>
      <c r="H25" s="10" t="n">
        <v>49.5083</v>
      </c>
      <c r="I25" s="10" t="n"/>
      <c r="J25" s="10" t="n">
        <v>56.1</v>
      </c>
      <c r="K25" s="10" t="n">
        <v>54.33</v>
      </c>
      <c r="L25" s="10" t="n">
        <v>55.488</v>
      </c>
      <c r="M25" s="8" t="inlineStr">
        <is>
          <t>TAPAJOS</t>
        </is>
      </c>
      <c r="N25" s="10" t="n">
        <v>54.33</v>
      </c>
      <c r="O25" s="11">
        <f>N25/G25-1</f>
        <v/>
      </c>
      <c r="P25" s="12" t="inlineStr">
        <is>
          <t>OK (≤ últ. compra)</t>
        </is>
      </c>
      <c r="Q25" s="8" t="inlineStr"/>
    </row>
    <row r="26">
      <c r="A26" s="8" t="n">
        <v>637931</v>
      </c>
      <c r="B26" s="8" t="inlineStr">
        <is>
          <t>7898968453098</t>
        </is>
      </c>
      <c r="C26" s="8" t="inlineStr">
        <is>
          <t>ATENSINA 0,100MG CX 30 COMP</t>
        </is>
      </c>
      <c r="D26" s="9" t="n">
        <v>1</v>
      </c>
      <c r="E26" s="9" t="n">
        <v>1</v>
      </c>
      <c r="F26" s="9" t="n">
        <v>1</v>
      </c>
      <c r="G26" s="10" t="n">
        <v>7.045</v>
      </c>
      <c r="H26" s="10" t="n">
        <v>7.045</v>
      </c>
      <c r="I26" s="10" t="n">
        <v>7.91</v>
      </c>
      <c r="J26" s="10" t="n"/>
      <c r="K26" s="10" t="n"/>
      <c r="L26" s="10" t="n">
        <v>8.01</v>
      </c>
      <c r="M26" s="8" t="inlineStr">
        <is>
          <t>NAZARIA</t>
        </is>
      </c>
      <c r="N26" s="10" t="n">
        <v>8.01</v>
      </c>
      <c r="O26" s="11">
        <f>N26/G26-1</f>
        <v/>
      </c>
      <c r="P26" s="13" t="inlineStr">
        <is>
          <t>ACIMA +13.7% (vs últ. compra)</t>
        </is>
      </c>
      <c r="Q26" s="8" t="inlineStr">
        <is>
          <t>sem estoque no ePan</t>
        </is>
      </c>
    </row>
    <row r="27">
      <c r="A27" s="8" t="n">
        <v>582181</v>
      </c>
      <c r="B27" s="8" t="inlineStr">
        <is>
          <t>7896026307826</t>
        </is>
      </c>
      <c r="C27" s="8" t="inlineStr">
        <is>
          <t>ATROVENT 0,25MG/ML SOL INAL CT FR VD AMB X 20ML</t>
        </is>
      </c>
      <c r="D27" s="9" t="n">
        <v>1</v>
      </c>
      <c r="E27" s="9" t="n">
        <v>3</v>
      </c>
      <c r="F27" s="9" t="n">
        <v>3</v>
      </c>
      <c r="G27" s="10" t="n">
        <v>22.33</v>
      </c>
      <c r="H27" s="10" t="n">
        <v>19.266</v>
      </c>
      <c r="I27" s="10" t="n"/>
      <c r="J27" s="10" t="n">
        <v>23</v>
      </c>
      <c r="K27" s="10" t="n">
        <v>22.33</v>
      </c>
      <c r="L27" s="10" t="n">
        <v>23.75</v>
      </c>
      <c r="M27" s="8" t="inlineStr">
        <is>
          <t>TAPAJOS</t>
        </is>
      </c>
      <c r="N27" s="10" t="n">
        <v>22.33</v>
      </c>
      <c r="O27" s="11">
        <f>N27/G27-1</f>
        <v/>
      </c>
      <c r="P27" s="12" t="inlineStr">
        <is>
          <t>OK (≤ últ. compra)</t>
        </is>
      </c>
      <c r="Q27" s="8" t="inlineStr"/>
    </row>
    <row r="28">
      <c r="A28" s="8" t="n">
        <v>488841</v>
      </c>
      <c r="B28" s="8" t="inlineStr">
        <is>
          <t>7891317010287</t>
        </is>
      </c>
      <c r="C28" s="8" t="inlineStr">
        <is>
          <t>ATTENZE 10MG CX 30 COMP</t>
        </is>
      </c>
      <c r="D28" s="9" t="n">
        <v>1</v>
      </c>
      <c r="E28" s="9" t="n">
        <v>1</v>
      </c>
      <c r="F28" s="9" t="n">
        <v>1</v>
      </c>
      <c r="G28" s="10" t="n">
        <v>32.7783333333333</v>
      </c>
      <c r="H28" s="10" t="n">
        <v>32.7783</v>
      </c>
      <c r="I28" s="10" t="n"/>
      <c r="J28" s="10" t="n">
        <v>39.8</v>
      </c>
      <c r="K28" s="10" t="n"/>
      <c r="L28" s="10" t="n">
        <v>39.3792</v>
      </c>
      <c r="M28" s="8" t="inlineStr">
        <is>
          <t>NAZARIA</t>
        </is>
      </c>
      <c r="N28" s="10" t="n">
        <v>39.3792</v>
      </c>
      <c r="O28" s="11">
        <f>N28/G28-1</f>
        <v/>
      </c>
      <c r="P28" s="13" t="inlineStr">
        <is>
          <t>ACIMA +20.1% (vs últ. compra)</t>
        </is>
      </c>
      <c r="Q28" s="8" t="inlineStr"/>
    </row>
    <row r="29">
      <c r="A29" s="8" t="n">
        <v>15761</v>
      </c>
      <c r="B29" s="8" t="inlineStr">
        <is>
          <t>5702191025637</t>
        </is>
      </c>
      <c r="C29" s="8" t="inlineStr">
        <is>
          <t>AZELAN 150 MG/G GEL CT BG AL X 30 G</t>
        </is>
      </c>
      <c r="D29" s="9" t="n">
        <v>1</v>
      </c>
      <c r="E29" s="9" t="n">
        <v>3</v>
      </c>
      <c r="F29" s="9" t="n">
        <v>3</v>
      </c>
      <c r="G29" s="10" t="n">
        <v>67.23999999999999</v>
      </c>
      <c r="H29" s="10" t="n">
        <v>63.655</v>
      </c>
      <c r="I29" s="10" t="n">
        <v>67.5</v>
      </c>
      <c r="J29" s="10" t="n"/>
      <c r="K29" s="10" t="n"/>
      <c r="L29" s="10" t="n">
        <v>71.53</v>
      </c>
      <c r="M29" s="8" t="inlineStr">
        <is>
          <t>SEM COTAÇÃO</t>
        </is>
      </c>
      <c r="N29" s="10" t="n"/>
      <c r="O29" s="11" t="n"/>
      <c r="P29" s="8" t="inlineStr"/>
      <c r="Q29" s="8" t="inlineStr">
        <is>
          <t>sem estoque na Nazária; sem estoque no ePan</t>
        </is>
      </c>
    </row>
    <row r="30">
      <c r="A30" s="8" t="n">
        <v>364041</v>
      </c>
      <c r="B30" s="8" t="inlineStr">
        <is>
          <t>7891317172749</t>
        </is>
      </c>
      <c r="C30" s="8" t="inlineStr">
        <is>
          <t>AZOX 20MG/ML PO SUS OR FR 100ML+SER DOS</t>
        </is>
      </c>
      <c r="D30" s="9" t="n">
        <v>1</v>
      </c>
      <c r="E30" s="9" t="n">
        <v>1</v>
      </c>
      <c r="F30" s="9" t="n">
        <v>1</v>
      </c>
      <c r="G30" s="10" t="n">
        <v>46.74</v>
      </c>
      <c r="H30" s="10" t="n">
        <v>42.955</v>
      </c>
      <c r="I30" s="10" t="n"/>
      <c r="J30" s="10" t="n"/>
      <c r="K30" s="10" t="n">
        <v>46.74</v>
      </c>
      <c r="L30" s="10" t="n"/>
      <c r="M30" s="8" t="inlineStr">
        <is>
          <t>TAPAJOS</t>
        </is>
      </c>
      <c r="N30" s="10" t="n">
        <v>46.74</v>
      </c>
      <c r="O30" s="11">
        <f>N30/G30-1</f>
        <v/>
      </c>
      <c r="P30" s="12" t="inlineStr">
        <is>
          <t>OK (≤ últ. compra)</t>
        </is>
      </c>
      <c r="Q30" s="8" t="inlineStr"/>
    </row>
    <row r="31">
      <c r="A31" s="8" t="n">
        <v>645591</v>
      </c>
      <c r="B31" s="8" t="inlineStr">
        <is>
          <t>7898040328603</t>
        </is>
      </c>
      <c r="C31" s="8" t="inlineStr">
        <is>
          <t>BACTRIM F CX 10 COMP</t>
        </is>
      </c>
      <c r="D31" s="9" t="n">
        <v>1</v>
      </c>
      <c r="E31" s="9" t="n">
        <v>5</v>
      </c>
      <c r="F31" s="9" t="n">
        <v>5</v>
      </c>
      <c r="G31" s="10" t="n">
        <v>27.55</v>
      </c>
      <c r="H31" s="10" t="n">
        <v>24.63</v>
      </c>
      <c r="I31" s="10" t="n"/>
      <c r="J31" s="10" t="n">
        <v>28</v>
      </c>
      <c r="K31" s="10" t="n">
        <v>27.55</v>
      </c>
      <c r="L31" s="10" t="n">
        <v>27.455</v>
      </c>
      <c r="M31" s="8" t="inlineStr">
        <is>
          <t>NAZARIA</t>
        </is>
      </c>
      <c r="N31" s="10" t="n">
        <v>27.455</v>
      </c>
      <c r="O31" s="11">
        <f>N31/G31-1</f>
        <v/>
      </c>
      <c r="P31" s="12" t="inlineStr">
        <is>
          <t>OK (≤ últ. compra)</t>
        </is>
      </c>
      <c r="Q31" s="8" t="inlineStr"/>
    </row>
    <row r="32">
      <c r="A32" s="8" t="n">
        <v>339861</v>
      </c>
      <c r="B32" s="8" t="inlineStr">
        <is>
          <t>7896004726793</t>
        </is>
      </c>
      <c r="C32" s="8" t="inlineStr">
        <is>
          <t>BALSAMO BENGUE 0,10+0,50G AER FR 60G</t>
        </is>
      </c>
      <c r="D32" s="9" t="n">
        <v>1</v>
      </c>
      <c r="E32" s="9" t="n">
        <v>1</v>
      </c>
      <c r="F32" s="9" t="n">
        <v>1</v>
      </c>
      <c r="G32" s="10" t="n">
        <v>28.88</v>
      </c>
      <c r="H32" s="10" t="n">
        <v>25.51</v>
      </c>
      <c r="I32" s="10" t="n"/>
      <c r="J32" s="10" t="n"/>
      <c r="K32" s="10" t="n">
        <v>34.71</v>
      </c>
      <c r="L32" s="10" t="n">
        <v>36.93</v>
      </c>
      <c r="M32" s="8" t="inlineStr">
        <is>
          <t>TAPAJOS</t>
        </is>
      </c>
      <c r="N32" s="10" t="n">
        <v>34.71</v>
      </c>
      <c r="O32" s="11">
        <f>N32/G32-1</f>
        <v/>
      </c>
      <c r="P32" s="13" t="inlineStr">
        <is>
          <t>ACIMA +20.2% (vs últ. compra)</t>
        </is>
      </c>
      <c r="Q32" s="8" t="inlineStr"/>
    </row>
    <row r="33">
      <c r="A33" s="8" t="n">
        <v>339821</v>
      </c>
      <c r="B33" s="8" t="inlineStr">
        <is>
          <t>7896004817576</t>
        </is>
      </c>
      <c r="C33" s="8" t="inlineStr">
        <is>
          <t>BALSAMO BENGUE GEL BG 20G</t>
        </is>
      </c>
      <c r="D33" s="9" t="n">
        <v>1</v>
      </c>
      <c r="E33" s="9" t="n">
        <v>2</v>
      </c>
      <c r="F33" s="9" t="n">
        <v>2</v>
      </c>
      <c r="G33" s="10" t="n">
        <v>19.96</v>
      </c>
      <c r="H33" s="10" t="n">
        <v>13.96</v>
      </c>
      <c r="I33" s="10" t="n"/>
      <c r="J33" s="10" t="n"/>
      <c r="K33" s="10" t="n">
        <v>19.96</v>
      </c>
      <c r="L33" s="10" t="n">
        <v>21.23</v>
      </c>
      <c r="M33" s="8" t="inlineStr">
        <is>
          <t>TAPAJOS</t>
        </is>
      </c>
      <c r="N33" s="10" t="n">
        <v>19.96</v>
      </c>
      <c r="O33" s="11">
        <f>N33/G33-1</f>
        <v/>
      </c>
      <c r="P33" s="12" t="inlineStr">
        <is>
          <t>OK (≤ últ. compra)</t>
        </is>
      </c>
      <c r="Q33" s="8" t="inlineStr">
        <is>
          <t>sem estoque na Nazária</t>
        </is>
      </c>
    </row>
    <row r="34">
      <c r="A34" s="8" t="n">
        <v>596541</v>
      </c>
      <c r="B34" s="8" t="inlineStr">
        <is>
          <t>7891317026554</t>
        </is>
      </c>
      <c r="C34" s="8" t="inlineStr">
        <is>
          <t>BEDOZE 5MG/ML SOL INJ 2 AMP X 1ML</t>
        </is>
      </c>
      <c r="D34" s="9" t="n">
        <v>1</v>
      </c>
      <c r="E34" s="9" t="n">
        <v>1</v>
      </c>
      <c r="F34" s="9" t="n">
        <v>1</v>
      </c>
      <c r="G34" s="10" t="n">
        <v>32.8</v>
      </c>
      <c r="H34" s="10" t="n">
        <v>30.2</v>
      </c>
      <c r="I34" s="10" t="n">
        <v>32.8</v>
      </c>
      <c r="J34" s="10" t="n">
        <v>32.9</v>
      </c>
      <c r="K34" s="10" t="n">
        <v>31.9</v>
      </c>
      <c r="L34" s="10" t="n">
        <v>32.5824</v>
      </c>
      <c r="M34" s="8" t="inlineStr">
        <is>
          <t>TAPAJOS</t>
        </is>
      </c>
      <c r="N34" s="10" t="n">
        <v>31.9</v>
      </c>
      <c r="O34" s="11">
        <f>N34/G34-1</f>
        <v/>
      </c>
      <c r="P34" s="12" t="inlineStr">
        <is>
          <t>OK (≤ últ. compra)</t>
        </is>
      </c>
      <c r="Q34" s="8" t="inlineStr"/>
    </row>
    <row r="35">
      <c r="A35" s="8" t="n">
        <v>114701</v>
      </c>
      <c r="B35" s="8" t="inlineStr">
        <is>
          <t>7891010974923</t>
        </is>
      </c>
      <c r="C35" s="8" t="inlineStr">
        <is>
          <t>BENALET 5+50+10MG PASTILHA CARTELA MEL/LIMAO C/ 4UN</t>
        </is>
      </c>
      <c r="D35" s="9" t="n">
        <v>13</v>
      </c>
      <c r="E35" s="9" t="n">
        <v>1</v>
      </c>
      <c r="F35" s="9" t="n">
        <v>13</v>
      </c>
      <c r="G35" s="10" t="n">
        <v>10.6191153846154</v>
      </c>
      <c r="H35" s="10" t="n">
        <v>10.1792</v>
      </c>
      <c r="I35" s="10" t="n"/>
      <c r="J35" s="10" t="n"/>
      <c r="K35" s="10" t="n"/>
      <c r="L35" s="10" t="n"/>
      <c r="M35" s="8" t="inlineStr">
        <is>
          <t>SEM COTAÇÃO</t>
        </is>
      </c>
      <c r="N35" s="10" t="n"/>
      <c r="O35" s="11" t="n"/>
      <c r="P35" s="8" t="inlineStr"/>
      <c r="Q35" s="8" t="inlineStr"/>
    </row>
    <row r="36">
      <c r="A36" s="8" t="n">
        <v>497121</v>
      </c>
      <c r="B36" s="8" t="inlineStr">
        <is>
          <t>7891268402025</t>
        </is>
      </c>
      <c r="C36" s="8" t="inlineStr">
        <is>
          <t>BENALET 5+50+10MG PASTILHA SB MEL E LIMAO CX C/ 12UN</t>
        </is>
      </c>
      <c r="D36" s="9" t="n">
        <v>1</v>
      </c>
      <c r="E36" s="9" t="n">
        <v>2</v>
      </c>
      <c r="F36" s="9" t="n">
        <v>2</v>
      </c>
      <c r="G36" s="10" t="n">
        <v>9.516666666666669</v>
      </c>
      <c r="H36" s="10" t="n">
        <v>9.516666666666669</v>
      </c>
      <c r="I36" s="10" t="n"/>
      <c r="J36" s="10" t="n"/>
      <c r="K36" s="10" t="n"/>
      <c r="L36" s="10" t="n"/>
      <c r="M36" s="8" t="inlineStr">
        <is>
          <t>SEM COTAÇÃO</t>
        </is>
      </c>
      <c r="N36" s="10" t="n"/>
      <c r="O36" s="11" t="n"/>
      <c r="P36" s="8" t="inlineStr"/>
      <c r="Q36" s="8" t="inlineStr"/>
    </row>
    <row r="37">
      <c r="A37" s="8" t="n">
        <v>114681</v>
      </c>
      <c r="B37" s="8" t="inlineStr">
        <is>
          <t>7891010974930</t>
        </is>
      </c>
      <c r="C37" s="8" t="inlineStr">
        <is>
          <t>BENALET 5+50+10MG PASTILHA SB MENTA CX C/ 12UN</t>
        </is>
      </c>
      <c r="D37" s="9" t="n">
        <v>1</v>
      </c>
      <c r="E37" s="9" t="n">
        <v>1</v>
      </c>
      <c r="F37" s="9" t="n">
        <v>1</v>
      </c>
      <c r="G37" s="10" t="n">
        <v>24.88</v>
      </c>
      <c r="H37" s="10" t="n">
        <v>24.88</v>
      </c>
      <c r="I37" s="10" t="n"/>
      <c r="J37" s="10" t="n"/>
      <c r="K37" s="10" t="n"/>
      <c r="L37" s="10" t="n"/>
      <c r="M37" s="8" t="inlineStr">
        <is>
          <t>SEM COTAÇÃO</t>
        </is>
      </c>
      <c r="N37" s="10" t="n"/>
      <c r="O37" s="11" t="n"/>
      <c r="P37" s="8" t="inlineStr"/>
      <c r="Q37" s="8" t="inlineStr"/>
    </row>
    <row r="38">
      <c r="A38" s="8" t="n">
        <v>54421</v>
      </c>
      <c r="B38" s="8" t="inlineStr">
        <is>
          <t>7897411611023</t>
        </is>
      </c>
      <c r="C38" s="8" t="inlineStr">
        <is>
          <t>BENICAR ANLO 40+5MG CX 30 COMP REV</t>
        </is>
      </c>
      <c r="D38" s="9" t="n">
        <v>1</v>
      </c>
      <c r="E38" s="9" t="n">
        <v>3</v>
      </c>
      <c r="F38" s="9" t="n">
        <v>3</v>
      </c>
      <c r="G38" s="10" t="n">
        <v>76.89</v>
      </c>
      <c r="H38" s="10" t="n">
        <v>68.45999999999999</v>
      </c>
      <c r="I38" s="10" t="n">
        <v>76.89</v>
      </c>
      <c r="J38" s="10" t="n">
        <v>75.5</v>
      </c>
      <c r="K38" s="10" t="n"/>
      <c r="L38" s="10" t="n">
        <v>77.87</v>
      </c>
      <c r="M38" s="8" t="inlineStr">
        <is>
          <t>SB LOG</t>
        </is>
      </c>
      <c r="N38" s="10" t="n">
        <v>75.5</v>
      </c>
      <c r="O38" s="11">
        <f>N38/G38-1</f>
        <v/>
      </c>
      <c r="P38" s="12" t="inlineStr">
        <is>
          <t>OK (≤ últ. compra)</t>
        </is>
      </c>
      <c r="Q38" s="8" t="inlineStr"/>
    </row>
    <row r="39">
      <c r="A39" s="8" t="n">
        <v>588821</v>
      </c>
      <c r="B39" s="8" t="inlineStr">
        <is>
          <t>7891106912167</t>
        </is>
      </c>
      <c r="C39" s="8" t="inlineStr">
        <is>
          <t>BEPANTOL BABY 30+15G</t>
        </is>
      </c>
      <c r="D39" s="9" t="n">
        <v>1</v>
      </c>
      <c r="E39" s="9" t="n">
        <v>9</v>
      </c>
      <c r="F39" s="9" t="n">
        <v>9</v>
      </c>
      <c r="G39" s="10" t="n">
        <v>14.36</v>
      </c>
      <c r="H39" s="10" t="n">
        <v>12.9012</v>
      </c>
      <c r="I39" s="10" t="n"/>
      <c r="J39" s="10" t="n">
        <v>12.7</v>
      </c>
      <c r="K39" s="10" t="n">
        <v>14.83</v>
      </c>
      <c r="L39" s="10" t="n">
        <v>19.44</v>
      </c>
      <c r="M39" s="8" t="inlineStr">
        <is>
          <t>SB LOG</t>
        </is>
      </c>
      <c r="N39" s="10" t="n">
        <v>12.7</v>
      </c>
      <c r="O39" s="11">
        <f>N39/G39-1</f>
        <v/>
      </c>
      <c r="P39" s="12" t="inlineStr">
        <is>
          <t>OK (≤ menor hist.)</t>
        </is>
      </c>
      <c r="Q39" s="8" t="inlineStr"/>
    </row>
    <row r="40">
      <c r="A40" s="8" t="n">
        <v>550701</v>
      </c>
      <c r="B40" s="8" t="inlineStr">
        <is>
          <t>7891106907286</t>
        </is>
      </c>
      <c r="C40" s="8" t="inlineStr">
        <is>
          <t>BEPANTOL DERMA CR 20GR</t>
        </is>
      </c>
      <c r="D40" s="9" t="n">
        <v>1</v>
      </c>
      <c r="E40" s="9" t="n">
        <v>6</v>
      </c>
      <c r="F40" s="9" t="n">
        <v>6</v>
      </c>
      <c r="G40" s="10" t="n">
        <v>23.83</v>
      </c>
      <c r="H40" s="10" t="n">
        <v>23.4233</v>
      </c>
      <c r="I40" s="10" t="n">
        <v>25.64</v>
      </c>
      <c r="J40" s="10" t="n">
        <v>20.8</v>
      </c>
      <c r="K40" s="10" t="n">
        <v>23.83</v>
      </c>
      <c r="L40" s="10" t="n">
        <v>31.89</v>
      </c>
      <c r="M40" s="8" t="inlineStr">
        <is>
          <t>SB LOG</t>
        </is>
      </c>
      <c r="N40" s="10" t="n">
        <v>20.8</v>
      </c>
      <c r="O40" s="11">
        <f>N40/G40-1</f>
        <v/>
      </c>
      <c r="P40" s="12" t="inlineStr">
        <is>
          <t>OK (≤ menor hist.)</t>
        </is>
      </c>
      <c r="Q40" s="8" t="inlineStr"/>
    </row>
    <row r="41">
      <c r="A41" s="8" t="n">
        <v>666671</v>
      </c>
      <c r="B41" s="8" t="inlineStr">
        <is>
          <t>7891106914628</t>
        </is>
      </c>
      <c r="C41" s="8" t="inlineStr">
        <is>
          <t>BEPANTOL DERMA REGENERADOR 200ML-DEMAIS PROD</t>
        </is>
      </c>
      <c r="D41" s="9" t="n">
        <v>1</v>
      </c>
      <c r="E41" s="9" t="n">
        <v>1</v>
      </c>
      <c r="F41" s="9" t="n">
        <v>1</v>
      </c>
      <c r="G41" s="10" t="n">
        <v>59.3</v>
      </c>
      <c r="H41" s="10" t="n">
        <v>59.3</v>
      </c>
      <c r="I41" s="10" t="n"/>
      <c r="J41" s="10" t="n"/>
      <c r="K41" s="10" t="n">
        <v>46.5</v>
      </c>
      <c r="L41" s="10" t="n"/>
      <c r="M41" s="8" t="inlineStr">
        <is>
          <t>TAPAJOS</t>
        </is>
      </c>
      <c r="N41" s="10" t="n">
        <v>46.5</v>
      </c>
      <c r="O41" s="11">
        <f>N41/G41-1</f>
        <v/>
      </c>
      <c r="P41" s="12" t="inlineStr">
        <is>
          <t>OK (≤ menor hist.)</t>
        </is>
      </c>
      <c r="Q41" s="8" t="inlineStr"/>
    </row>
    <row r="42">
      <c r="A42" s="8" t="n">
        <v>666661</v>
      </c>
      <c r="B42" s="8" t="inlineStr">
        <is>
          <t>7891106916578</t>
        </is>
      </c>
      <c r="C42" s="8" t="inlineStr">
        <is>
          <t>BEPANTOL DERMA ROSA MOSQUETA 20G-DEMAIS PROD</t>
        </is>
      </c>
      <c r="D42" s="9" t="n">
        <v>1</v>
      </c>
      <c r="E42" s="9" t="n">
        <v>1</v>
      </c>
      <c r="F42" s="9" t="n">
        <v>1</v>
      </c>
      <c r="G42" s="10" t="n">
        <v>23.165</v>
      </c>
      <c r="H42" s="10" t="n">
        <v>23.165</v>
      </c>
      <c r="I42" s="10" t="n">
        <v>0</v>
      </c>
      <c r="J42" s="10" t="n"/>
      <c r="K42" s="10" t="n">
        <v>26.1</v>
      </c>
      <c r="L42" s="10" t="n">
        <v>30.31</v>
      </c>
      <c r="M42" s="8" t="inlineStr">
        <is>
          <t>EPAN</t>
        </is>
      </c>
      <c r="N42" s="10" t="n">
        <v>0</v>
      </c>
      <c r="O42" s="11">
        <f>N42/G42-1</f>
        <v/>
      </c>
      <c r="P42" s="12" t="inlineStr">
        <is>
          <t>OK (≤ menor hist.)</t>
        </is>
      </c>
      <c r="Q42" s="8" t="inlineStr"/>
    </row>
    <row r="43">
      <c r="A43" s="8" t="n">
        <v>632681</v>
      </c>
      <c r="B43" s="8" t="inlineStr">
        <is>
          <t>7891106913522</t>
        </is>
      </c>
      <c r="C43" s="8" t="inlineStr">
        <is>
          <t>BEPANTOL DERMA TOQUE SECO CR 30G</t>
        </is>
      </c>
      <c r="D43" s="9" t="n">
        <v>1</v>
      </c>
      <c r="E43" s="9" t="n">
        <v>2</v>
      </c>
      <c r="F43" s="9" t="n">
        <v>2</v>
      </c>
      <c r="G43" s="10" t="n">
        <v>30.24</v>
      </c>
      <c r="H43" s="10" t="n">
        <v>28.6</v>
      </c>
      <c r="I43" s="10" t="n">
        <v>27.71</v>
      </c>
      <c r="J43" s="10" t="n">
        <v>26.4</v>
      </c>
      <c r="K43" s="10" t="n">
        <v>29.06</v>
      </c>
      <c r="L43" s="10" t="n">
        <v>38.51</v>
      </c>
      <c r="M43" s="8" t="inlineStr">
        <is>
          <t>SB LOG</t>
        </is>
      </c>
      <c r="N43" s="10" t="n">
        <v>26.4</v>
      </c>
      <c r="O43" s="11">
        <f>N43/G43-1</f>
        <v/>
      </c>
      <c r="P43" s="12" t="inlineStr">
        <is>
          <t>OK (≤ menor hist.)</t>
        </is>
      </c>
      <c r="Q43" s="8" t="inlineStr"/>
    </row>
    <row r="44">
      <c r="A44" s="8" t="n">
        <v>666701</v>
      </c>
      <c r="B44" s="8" t="inlineStr">
        <is>
          <t>7891106916288</t>
        </is>
      </c>
      <c r="C44" s="8" t="inlineStr">
        <is>
          <t>BEPANTOL LENCOS UMED BIO 48UN-DEMAIS PROD</t>
        </is>
      </c>
      <c r="D44" s="9" t="n">
        <v>1</v>
      </c>
      <c r="E44" s="9" t="n">
        <v>1</v>
      </c>
      <c r="F44" s="9" t="n">
        <v>1</v>
      </c>
      <c r="G44" s="10" t="n">
        <v>15.26</v>
      </c>
      <c r="H44" s="10" t="n">
        <v>13.89</v>
      </c>
      <c r="I44" s="10" t="n"/>
      <c r="J44" s="10" t="n"/>
      <c r="K44" s="10" t="n"/>
      <c r="L44" s="10" t="n"/>
      <c r="M44" s="8" t="inlineStr">
        <is>
          <t>SEM COTAÇÃO</t>
        </is>
      </c>
      <c r="N44" s="10" t="n"/>
      <c r="O44" s="11" t="n"/>
      <c r="P44" s="8" t="inlineStr"/>
      <c r="Q44" s="8" t="inlineStr"/>
    </row>
    <row r="45">
      <c r="A45" s="8" t="n">
        <v>82401</v>
      </c>
      <c r="B45" s="8" t="inlineStr">
        <is>
          <t>7896026171182</t>
        </is>
      </c>
      <c r="C45" s="8" t="inlineStr">
        <is>
          <t>BESEROL 300+125+50+30MG CX 12 COMP</t>
        </is>
      </c>
      <c r="D45" s="9" t="n">
        <v>1</v>
      </c>
      <c r="E45" s="9" t="n">
        <v>1</v>
      </c>
      <c r="F45" s="9" t="n">
        <v>1</v>
      </c>
      <c r="G45" s="10" t="n">
        <v>18.3166666666667</v>
      </c>
      <c r="H45" s="10" t="n">
        <v>11.71</v>
      </c>
      <c r="I45" s="10" t="n">
        <v>14.43</v>
      </c>
      <c r="J45" s="10" t="n"/>
      <c r="K45" s="10" t="n"/>
      <c r="L45" s="10" t="n">
        <v>19.85</v>
      </c>
      <c r="M45" s="8" t="inlineStr">
        <is>
          <t>EPAN</t>
        </is>
      </c>
      <c r="N45" s="10" t="n">
        <v>14.43</v>
      </c>
      <c r="O45" s="11">
        <f>N45/G45-1</f>
        <v/>
      </c>
      <c r="P45" s="12" t="inlineStr">
        <is>
          <t>OK (≤ últ. compra)</t>
        </is>
      </c>
      <c r="Q45" s="8" t="inlineStr">
        <is>
          <t>sem estoque na Nazária</t>
        </is>
      </c>
    </row>
    <row r="46">
      <c r="A46" s="8" t="n">
        <v>254101</v>
      </c>
      <c r="B46" s="8" t="inlineStr">
        <is>
          <t>7891317103323</t>
        </is>
      </c>
      <c r="C46" s="8" t="inlineStr">
        <is>
          <t>BETATRINTA 5+2MG/ML SUS INJ AMP X 1ML+SER SIST</t>
        </is>
      </c>
      <c r="D46" s="9" t="n">
        <v>1</v>
      </c>
      <c r="E46" s="9" t="n">
        <v>28</v>
      </c>
      <c r="F46" s="9" t="n">
        <v>28</v>
      </c>
      <c r="G46" s="10" t="n">
        <v>22.91</v>
      </c>
      <c r="H46" s="10" t="n">
        <v>20.871</v>
      </c>
      <c r="I46" s="10" t="n"/>
      <c r="J46" s="10" t="n">
        <v>23.6</v>
      </c>
      <c r="K46" s="10" t="n">
        <v>22.91</v>
      </c>
      <c r="L46" s="10" t="n">
        <v>23.3952</v>
      </c>
      <c r="M46" s="8" t="inlineStr">
        <is>
          <t>TAPAJOS</t>
        </is>
      </c>
      <c r="N46" s="10" t="n">
        <v>22.91</v>
      </c>
      <c r="O46" s="11">
        <f>N46/G46-1</f>
        <v/>
      </c>
      <c r="P46" s="12" t="inlineStr">
        <is>
          <t>OK (≤ últ. compra)</t>
        </is>
      </c>
      <c r="Q46" s="8" t="inlineStr"/>
    </row>
    <row r="47">
      <c r="A47" s="8" t="n">
        <v>128081</v>
      </c>
      <c r="B47" s="8" t="inlineStr">
        <is>
          <t>7891317478964</t>
        </is>
      </c>
      <c r="C47" s="8" t="inlineStr">
        <is>
          <t>BETINA 24MG CX 30 COMP</t>
        </is>
      </c>
      <c r="D47" s="9" t="n">
        <v>1</v>
      </c>
      <c r="E47" s="9" t="n">
        <v>2</v>
      </c>
      <c r="F47" s="9" t="n">
        <v>2</v>
      </c>
      <c r="G47" s="10" t="n">
        <v>29.58</v>
      </c>
      <c r="H47" s="10" t="n">
        <v>26.87</v>
      </c>
      <c r="I47" s="10" t="n">
        <v>29.58</v>
      </c>
      <c r="J47" s="10" t="n">
        <v>29.7</v>
      </c>
      <c r="K47" s="10" t="n">
        <v>28.76</v>
      </c>
      <c r="L47" s="10" t="n">
        <v>29.376</v>
      </c>
      <c r="M47" s="8" t="inlineStr">
        <is>
          <t>TAPAJOS</t>
        </is>
      </c>
      <c r="N47" s="10" t="n">
        <v>28.76</v>
      </c>
      <c r="O47" s="11">
        <f>N47/G47-1</f>
        <v/>
      </c>
      <c r="P47" s="12" t="inlineStr">
        <is>
          <t>OK (≤ últ. compra)</t>
        </is>
      </c>
      <c r="Q47" s="8" t="inlineStr"/>
    </row>
    <row r="48">
      <c r="A48" s="8" t="n">
        <v>550721</v>
      </c>
      <c r="B48" s="8" t="inlineStr">
        <is>
          <t>7891317001964</t>
        </is>
      </c>
      <c r="C48" s="8" t="inlineStr">
        <is>
          <t>BICERTO 150MG CX 10 COMP LIB PROL</t>
        </is>
      </c>
      <c r="D48" s="9" t="n">
        <v>1</v>
      </c>
      <c r="E48" s="9" t="n">
        <v>3</v>
      </c>
      <c r="F48" s="9" t="n">
        <v>3</v>
      </c>
      <c r="G48" s="10" t="n">
        <v>41.2</v>
      </c>
      <c r="H48" s="10" t="n">
        <v>36.52</v>
      </c>
      <c r="I48" s="10" t="n"/>
      <c r="J48" s="10" t="n">
        <v>41.4</v>
      </c>
      <c r="K48" s="10" t="n">
        <v>40.07</v>
      </c>
      <c r="L48" s="10" t="n">
        <v>40.9344</v>
      </c>
      <c r="M48" s="8" t="inlineStr">
        <is>
          <t>TAPAJOS</t>
        </is>
      </c>
      <c r="N48" s="10" t="n">
        <v>40.07</v>
      </c>
      <c r="O48" s="11">
        <f>N48/G48-1</f>
        <v/>
      </c>
      <c r="P48" s="12" t="inlineStr">
        <is>
          <t>OK (≤ últ. compra)</t>
        </is>
      </c>
      <c r="Q48" s="8" t="inlineStr"/>
    </row>
    <row r="49">
      <c r="A49" s="8" t="n">
        <v>48321</v>
      </c>
      <c r="B49" s="8" t="inlineStr">
        <is>
          <t>7898100268290</t>
        </is>
      </c>
      <c r="C49" s="8" t="inlineStr">
        <is>
          <t>BIOVICERIN  END/ML SUS OR 2 FLAC X 5ML</t>
        </is>
      </c>
      <c r="D49" s="9" t="n">
        <v>1</v>
      </c>
      <c r="E49" s="9" t="n">
        <v>4</v>
      </c>
      <c r="F49" s="9" t="n">
        <v>4</v>
      </c>
      <c r="G49" s="10" t="n">
        <v>11.36</v>
      </c>
      <c r="H49" s="10" t="n">
        <v>8.533300000000001</v>
      </c>
      <c r="I49" s="10" t="n">
        <v>9.65</v>
      </c>
      <c r="J49" s="10" t="n"/>
      <c r="K49" s="10" t="n"/>
      <c r="L49" s="10" t="n">
        <v>12.55</v>
      </c>
      <c r="M49" s="8" t="inlineStr">
        <is>
          <t>EPAN</t>
        </is>
      </c>
      <c r="N49" s="10" t="n">
        <v>9.65</v>
      </c>
      <c r="O49" s="11">
        <f>N49/G49-1</f>
        <v/>
      </c>
      <c r="P49" s="12" t="inlineStr">
        <is>
          <t>OK (≤ últ. compra)</t>
        </is>
      </c>
      <c r="Q49" s="8" t="inlineStr"/>
    </row>
    <row r="50">
      <c r="A50" s="8" t="n">
        <v>457961</v>
      </c>
      <c r="B50" s="8" t="inlineStr">
        <is>
          <t>7896004810140</t>
        </is>
      </c>
      <c r="C50" s="8" t="inlineStr">
        <is>
          <t>BISMU-JET SOL FR GTS 20ML</t>
        </is>
      </c>
      <c r="D50" s="9" t="n">
        <v>1</v>
      </c>
      <c r="E50" s="9" t="n">
        <v>1</v>
      </c>
      <c r="F50" s="9" t="n">
        <v>1</v>
      </c>
      <c r="G50" s="10" t="n">
        <v>16.56</v>
      </c>
      <c r="H50" s="10" t="n">
        <v>14.3</v>
      </c>
      <c r="I50" s="10" t="n"/>
      <c r="J50" s="10" t="n"/>
      <c r="K50" s="10" t="n">
        <v>16.56</v>
      </c>
      <c r="L50" s="10" t="n">
        <v>33.03</v>
      </c>
      <c r="M50" s="8" t="inlineStr">
        <is>
          <t>TAPAJOS</t>
        </is>
      </c>
      <c r="N50" s="10" t="n">
        <v>16.56</v>
      </c>
      <c r="O50" s="11">
        <f>N50/G50-1</f>
        <v/>
      </c>
      <c r="P50" s="12" t="inlineStr">
        <is>
          <t>OK (≤ últ. compra)</t>
        </is>
      </c>
      <c r="Q50" s="8" t="inlineStr"/>
    </row>
    <row r="51">
      <c r="A51" s="8" t="n">
        <v>584301</v>
      </c>
      <c r="B51" s="8" t="inlineStr">
        <is>
          <t>4987188568729</t>
        </is>
      </c>
      <c r="C51" s="8" t="inlineStr">
        <is>
          <t>BYE BYE FEVER PARA CRIANCAS C/2UN(HSM)</t>
        </is>
      </c>
      <c r="D51" s="9" t="n">
        <v>1</v>
      </c>
      <c r="E51" s="9" t="n">
        <v>4</v>
      </c>
      <c r="F51" s="9" t="n">
        <v>4</v>
      </c>
      <c r="G51" s="10" t="n">
        <v>11.07</v>
      </c>
      <c r="H51" s="10" t="n">
        <v>8.99</v>
      </c>
      <c r="I51" s="10" t="n">
        <v>9.58</v>
      </c>
      <c r="J51" s="10" t="n"/>
      <c r="K51" s="10" t="n"/>
      <c r="L51" s="10" t="n">
        <v>11.53</v>
      </c>
      <c r="M51" s="8" t="inlineStr">
        <is>
          <t>EPAN</t>
        </is>
      </c>
      <c r="N51" s="10" t="n">
        <v>9.58</v>
      </c>
      <c r="O51" s="11">
        <f>N51/G51-1</f>
        <v/>
      </c>
      <c r="P51" s="12" t="inlineStr">
        <is>
          <t>OK (≤ últ. compra)</t>
        </is>
      </c>
      <c r="Q51" s="8" t="inlineStr"/>
    </row>
    <row r="52">
      <c r="A52" s="8" t="n">
        <v>606351</v>
      </c>
      <c r="B52" s="8" t="inlineStr">
        <is>
          <t>7896004780078</t>
        </is>
      </c>
      <c r="C52" s="8" t="inlineStr">
        <is>
          <t>CALADRYL POS SOL CR 28G</t>
        </is>
      </c>
      <c r="D52" s="9" t="n">
        <v>1</v>
      </c>
      <c r="E52" s="9" t="n">
        <v>1</v>
      </c>
      <c r="F52" s="9" t="n">
        <v>1</v>
      </c>
      <c r="G52" s="10" t="n">
        <v>18.74</v>
      </c>
      <c r="H52" s="10" t="n">
        <v>14.1583</v>
      </c>
      <c r="I52" s="10" t="n">
        <v>21.21</v>
      </c>
      <c r="J52" s="10" t="n"/>
      <c r="K52" s="10" t="n"/>
      <c r="L52" s="10" t="n">
        <v>23.27</v>
      </c>
      <c r="M52" s="8" t="inlineStr">
        <is>
          <t>EPAN</t>
        </is>
      </c>
      <c r="N52" s="10" t="n">
        <v>21.21</v>
      </c>
      <c r="O52" s="11">
        <f>N52/G52-1</f>
        <v/>
      </c>
      <c r="P52" s="13" t="inlineStr">
        <is>
          <t>ACIMA +13.2% (vs últ. compra)</t>
        </is>
      </c>
      <c r="Q52" s="8" t="inlineStr"/>
    </row>
    <row r="53">
      <c r="A53" s="8" t="n">
        <v>603911</v>
      </c>
      <c r="B53" s="8" t="inlineStr">
        <is>
          <t>7896004780061</t>
        </is>
      </c>
      <c r="C53" s="8" t="inlineStr">
        <is>
          <t>CALADRYL POS SOL LOC 100ML</t>
        </is>
      </c>
      <c r="D53" s="9" t="n">
        <v>1</v>
      </c>
      <c r="E53" s="9" t="n">
        <v>1</v>
      </c>
      <c r="F53" s="9" t="n">
        <v>1</v>
      </c>
      <c r="G53" s="10" t="n">
        <v>30.52</v>
      </c>
      <c r="H53" s="10" t="n">
        <v>16.4217</v>
      </c>
      <c r="I53" s="10" t="n">
        <v>24.13</v>
      </c>
      <c r="J53" s="10" t="n"/>
      <c r="K53" s="10" t="n"/>
      <c r="L53" s="10" t="n">
        <v>30.52</v>
      </c>
      <c r="M53" s="8" t="inlineStr">
        <is>
          <t>SEM COTAÇÃO</t>
        </is>
      </c>
      <c r="N53" s="10" t="n"/>
      <c r="O53" s="11" t="n"/>
      <c r="P53" s="8" t="inlineStr"/>
      <c r="Q53" s="8" t="inlineStr">
        <is>
          <t>sem estoque na Nazária; sem estoque no ePan</t>
        </is>
      </c>
    </row>
    <row r="54">
      <c r="A54" s="8" t="n">
        <v>600551</v>
      </c>
      <c r="B54" s="8" t="inlineStr">
        <is>
          <t>7898040329761</t>
        </is>
      </c>
      <c r="C54" s="8" t="inlineStr">
        <is>
          <t>CALCITRAN B12 SUSP FR 150ML</t>
        </is>
      </c>
      <c r="D54" s="9" t="n">
        <v>1</v>
      </c>
      <c r="E54" s="9" t="n">
        <v>1</v>
      </c>
      <c r="F54" s="9" t="n">
        <v>1</v>
      </c>
      <c r="G54" s="10" t="n">
        <v>34.35</v>
      </c>
      <c r="H54" s="10" t="n">
        <v>31.035</v>
      </c>
      <c r="I54" s="10" t="n"/>
      <c r="J54" s="10" t="n">
        <v>40.3</v>
      </c>
      <c r="K54" s="10" t="n">
        <v>35.48</v>
      </c>
      <c r="L54" s="10" t="n">
        <v>34.89</v>
      </c>
      <c r="M54" s="8" t="inlineStr">
        <is>
          <t>NAZARIA</t>
        </is>
      </c>
      <c r="N54" s="10" t="n">
        <v>34.89</v>
      </c>
      <c r="O54" s="11">
        <f>N54/G54-1</f>
        <v/>
      </c>
      <c r="P54" s="13" t="inlineStr">
        <is>
          <t>ACIMA +1.6% (vs últ. compra)</t>
        </is>
      </c>
      <c r="Q54" s="8" t="inlineStr"/>
    </row>
    <row r="55">
      <c r="A55" s="8" t="n">
        <v>539701</v>
      </c>
      <c r="B55" s="8" t="inlineStr">
        <is>
          <t>7898414850891</t>
        </is>
      </c>
      <c r="C55" s="8" t="inlineStr">
        <is>
          <t>CALCITRAN D3 CX 30 COMP</t>
        </is>
      </c>
      <c r="D55" s="9" t="n">
        <v>1</v>
      </c>
      <c r="E55" s="9" t="n">
        <v>1</v>
      </c>
      <c r="F55" s="9" t="n">
        <v>1</v>
      </c>
      <c r="G55" s="10" t="n">
        <v>36.48</v>
      </c>
      <c r="H55" s="10" t="n">
        <v>30.8</v>
      </c>
      <c r="I55" s="10" t="n">
        <v>36.55</v>
      </c>
      <c r="J55" s="10" t="n">
        <v>39.5</v>
      </c>
      <c r="K55" s="10" t="n">
        <v>37.66</v>
      </c>
      <c r="L55" s="10" t="n">
        <v>40.8</v>
      </c>
      <c r="M55" s="8" t="inlineStr">
        <is>
          <t>EPAN</t>
        </is>
      </c>
      <c r="N55" s="10" t="n">
        <v>36.55</v>
      </c>
      <c r="O55" s="11">
        <f>N55/G55-1</f>
        <v/>
      </c>
      <c r="P55" s="13" t="inlineStr">
        <is>
          <t>ACIMA +0.2% (vs últ. compra)</t>
        </is>
      </c>
      <c r="Q55" s="8" t="inlineStr"/>
    </row>
    <row r="56">
      <c r="A56" s="8" t="n">
        <v>210221</v>
      </c>
      <c r="B56" s="8" t="inlineStr">
        <is>
          <t>7896261013490</t>
        </is>
      </c>
      <c r="C56" s="8" t="inlineStr">
        <is>
          <t>CATAFLAM 50MG CX 10 DRG</t>
        </is>
      </c>
      <c r="D56" s="9" t="n">
        <v>1</v>
      </c>
      <c r="E56" s="9" t="n">
        <v>4</v>
      </c>
      <c r="F56" s="9" t="n">
        <v>4</v>
      </c>
      <c r="G56" s="10" t="n">
        <v>17.03</v>
      </c>
      <c r="H56" s="10" t="n">
        <v>16.38</v>
      </c>
      <c r="I56" s="10" t="n">
        <v>17.03</v>
      </c>
      <c r="J56" s="10" t="n">
        <v>20.9</v>
      </c>
      <c r="K56" s="10" t="n">
        <v>20.27</v>
      </c>
      <c r="L56" s="10" t="n">
        <v>20.9035</v>
      </c>
      <c r="M56" s="8" t="inlineStr">
        <is>
          <t>EPAN</t>
        </is>
      </c>
      <c r="N56" s="10" t="n">
        <v>17.03</v>
      </c>
      <c r="O56" s="11">
        <f>N56/G56-1</f>
        <v/>
      </c>
      <c r="P56" s="12" t="inlineStr">
        <is>
          <t>OK (≤ últ. compra)</t>
        </is>
      </c>
      <c r="Q56" s="8" t="inlineStr"/>
    </row>
    <row r="57">
      <c r="A57" s="8" t="n">
        <v>653981</v>
      </c>
      <c r="B57" s="8" t="inlineStr">
        <is>
          <t>7500435231510</t>
        </is>
      </c>
      <c r="C57" s="8" t="inlineStr">
        <is>
          <t>CEBION EFV 1G C/10 COMP-DEMAIS PROD</t>
        </is>
      </c>
      <c r="D57" s="9" t="n">
        <v>1</v>
      </c>
      <c r="E57" s="9" t="n">
        <v>1</v>
      </c>
      <c r="F57" s="9" t="n">
        <v>1</v>
      </c>
      <c r="G57" s="10" t="n">
        <v>14.32</v>
      </c>
      <c r="H57" s="10" t="n">
        <v>10.775</v>
      </c>
      <c r="I57" s="10" t="n">
        <v>12.03</v>
      </c>
      <c r="J57" s="10" t="n"/>
      <c r="K57" s="10" t="n"/>
      <c r="L57" s="10" t="n">
        <v>13.1652</v>
      </c>
      <c r="M57" s="8" t="inlineStr">
        <is>
          <t>EPAN</t>
        </is>
      </c>
      <c r="N57" s="10" t="n">
        <v>12.03</v>
      </c>
      <c r="O57" s="11">
        <f>N57/G57-1</f>
        <v/>
      </c>
      <c r="P57" s="12" t="inlineStr">
        <is>
          <t>OK (≤ últ. compra)</t>
        </is>
      </c>
      <c r="Q57" s="8" t="inlineStr"/>
    </row>
    <row r="58">
      <c r="A58" s="8" t="n">
        <v>636021</v>
      </c>
      <c r="B58" s="8" t="inlineStr">
        <is>
          <t>7899706192057</t>
        </is>
      </c>
      <c r="C58" s="8" t="inlineStr">
        <is>
          <t>CERAVE CR OLHOS 15G</t>
        </is>
      </c>
      <c r="D58" s="9" t="n">
        <v>1</v>
      </c>
      <c r="E58" s="9" t="n">
        <v>1</v>
      </c>
      <c r="F58" s="9" t="n">
        <v>1</v>
      </c>
      <c r="G58" s="10" t="n">
        <v>87.33</v>
      </c>
      <c r="H58" s="10" t="n">
        <v>87.33</v>
      </c>
      <c r="I58" s="10" t="n">
        <v>78.95999999999999</v>
      </c>
      <c r="J58" s="10" t="n"/>
      <c r="K58" s="10" t="n"/>
      <c r="L58" s="10" t="n">
        <v>107.56</v>
      </c>
      <c r="M58" s="8" t="inlineStr">
        <is>
          <t>EPAN</t>
        </is>
      </c>
      <c r="N58" s="10" t="n">
        <v>78.95999999999999</v>
      </c>
      <c r="O58" s="11">
        <f>N58/G58-1</f>
        <v/>
      </c>
      <c r="P58" s="12" t="inlineStr">
        <is>
          <t>OK (≤ menor hist.)</t>
        </is>
      </c>
      <c r="Q58" s="8" t="inlineStr"/>
    </row>
    <row r="59">
      <c r="A59" s="8" t="n">
        <v>669751</v>
      </c>
      <c r="B59" s="8" t="inlineStr">
        <is>
          <t>7899706159197</t>
        </is>
      </c>
      <c r="C59" s="8" t="inlineStr">
        <is>
          <t>CERAVE CREME HIDRATANTE 454G-DEMAIS PROD</t>
        </is>
      </c>
      <c r="D59" s="9" t="n">
        <v>1</v>
      </c>
      <c r="E59" s="9" t="n">
        <v>1</v>
      </c>
      <c r="F59" s="9" t="n">
        <v>1</v>
      </c>
      <c r="G59" s="10" t="n">
        <v>93.34</v>
      </c>
      <c r="H59" s="10" t="n">
        <v>88.84999999999999</v>
      </c>
      <c r="I59" s="10" t="n"/>
      <c r="J59" s="10" t="n"/>
      <c r="K59" s="10" t="n"/>
      <c r="L59" s="10" t="n">
        <v>108.19</v>
      </c>
      <c r="M59" s="8" t="inlineStr">
        <is>
          <t>NAZARIA</t>
        </is>
      </c>
      <c r="N59" s="10" t="n">
        <v>108.19</v>
      </c>
      <c r="O59" s="11">
        <f>N59/G59-1</f>
        <v/>
      </c>
      <c r="P59" s="13" t="inlineStr">
        <is>
          <t>ACIMA +15.9% (vs últ. compra)</t>
        </is>
      </c>
      <c r="Q59" s="8" t="inlineStr"/>
    </row>
    <row r="60">
      <c r="A60" s="8" t="n">
        <v>631111</v>
      </c>
      <c r="B60" s="8" t="inlineStr">
        <is>
          <t>7899706172707</t>
        </is>
      </c>
      <c r="C60" s="8" t="inlineStr">
        <is>
          <t>CERAVE GEL LIMPEZA 60G</t>
        </is>
      </c>
      <c r="D60" s="9" t="n">
        <v>1</v>
      </c>
      <c r="E60" s="9" t="n">
        <v>1</v>
      </c>
      <c r="F60" s="9" t="n">
        <v>1</v>
      </c>
      <c r="G60" s="10" t="n">
        <v>36.69</v>
      </c>
      <c r="H60" s="10" t="n">
        <v>36.69</v>
      </c>
      <c r="I60" s="10" t="n"/>
      <c r="J60" s="10" t="n"/>
      <c r="K60" s="10" t="n"/>
      <c r="L60" s="10" t="n">
        <v>42.81</v>
      </c>
      <c r="M60" s="8" t="inlineStr">
        <is>
          <t>SEM COTAÇÃO</t>
        </is>
      </c>
      <c r="N60" s="10" t="n"/>
      <c r="O60" s="11" t="n"/>
      <c r="P60" s="8" t="inlineStr"/>
      <c r="Q60" s="8" t="inlineStr">
        <is>
          <t>sem estoque na Nazária</t>
        </is>
      </c>
    </row>
    <row r="61">
      <c r="A61" s="8" t="n">
        <v>653331</v>
      </c>
      <c r="B61" s="8" t="inlineStr">
        <is>
          <t>7908615086309</t>
        </is>
      </c>
      <c r="C61" s="8" t="inlineStr">
        <is>
          <t>CERAVE LOCAO HIDRATANTE 340ML-DEMAIS PROD</t>
        </is>
      </c>
      <c r="D61" s="9" t="n">
        <v>1</v>
      </c>
      <c r="E61" s="9" t="n">
        <v>6</v>
      </c>
      <c r="F61" s="9" t="n">
        <v>6</v>
      </c>
      <c r="G61" s="10" t="n">
        <v>78.95999999999999</v>
      </c>
      <c r="H61" s="10" t="n">
        <v>66.325</v>
      </c>
      <c r="I61" s="10" t="n">
        <v>69.48</v>
      </c>
      <c r="J61" s="10" t="n"/>
      <c r="K61" s="10" t="n"/>
      <c r="L61" s="10" t="n">
        <v>84.46080000000001</v>
      </c>
      <c r="M61" s="8" t="inlineStr">
        <is>
          <t>EPAN</t>
        </is>
      </c>
      <c r="N61" s="10" t="n">
        <v>69.48</v>
      </c>
      <c r="O61" s="11">
        <f>N61/G61-1</f>
        <v/>
      </c>
      <c r="P61" s="12" t="inlineStr">
        <is>
          <t>OK (≤ últ. compra)</t>
        </is>
      </c>
      <c r="Q61" s="8" t="inlineStr"/>
    </row>
    <row r="62">
      <c r="A62" s="8" t="n">
        <v>637261</v>
      </c>
      <c r="B62" s="8" t="inlineStr">
        <is>
          <t>7899706159272</t>
        </is>
      </c>
      <c r="C62" s="8" t="inlineStr">
        <is>
          <t>CERAVE LOCAO HIDRATANTE 473ML-DEMAIS PROD</t>
        </is>
      </c>
      <c r="D62" s="9" t="n">
        <v>1</v>
      </c>
      <c r="E62" s="9" t="n">
        <v>2</v>
      </c>
      <c r="F62" s="9" t="n">
        <v>2</v>
      </c>
      <c r="G62" s="10" t="n">
        <v>103.71</v>
      </c>
      <c r="H62" s="10" t="n">
        <v>89.84</v>
      </c>
      <c r="I62" s="10" t="n"/>
      <c r="J62" s="10" t="n"/>
      <c r="K62" s="10" t="n"/>
      <c r="L62" s="10" t="n">
        <v>108.19</v>
      </c>
      <c r="M62" s="8" t="inlineStr">
        <is>
          <t>NAZARIA</t>
        </is>
      </c>
      <c r="N62" s="10" t="n">
        <v>108.19</v>
      </c>
      <c r="O62" s="11">
        <f>N62/G62-1</f>
        <v/>
      </c>
      <c r="P62" s="13" t="inlineStr">
        <is>
          <t>ACIMA +4.3% (vs últ. compra)</t>
        </is>
      </c>
      <c r="Q62" s="8" t="inlineStr"/>
    </row>
    <row r="63">
      <c r="A63" s="8" t="n">
        <v>624291</v>
      </c>
      <c r="B63" s="8" t="inlineStr">
        <is>
          <t>7899706211178</t>
        </is>
      </c>
      <c r="C63" s="8" t="inlineStr">
        <is>
          <t>CERAVE SA GEL DE LIMPEZA RENOVA 150G</t>
        </is>
      </c>
      <c r="D63" s="9" t="n">
        <v>1</v>
      </c>
      <c r="E63" s="9" t="n">
        <v>3</v>
      </c>
      <c r="F63" s="9" t="n">
        <v>3</v>
      </c>
      <c r="G63" s="10" t="n">
        <v>65.59</v>
      </c>
      <c r="H63" s="10" t="n">
        <v>65.59</v>
      </c>
      <c r="I63" s="10" t="n">
        <v>53.04</v>
      </c>
      <c r="J63" s="10" t="n"/>
      <c r="K63" s="10" t="n"/>
      <c r="L63" s="10" t="n">
        <v>70.08</v>
      </c>
      <c r="M63" s="8" t="inlineStr">
        <is>
          <t>EPAN</t>
        </is>
      </c>
      <c r="N63" s="10" t="n">
        <v>53.04</v>
      </c>
      <c r="O63" s="11">
        <f>N63/G63-1</f>
        <v/>
      </c>
      <c r="P63" s="12" t="inlineStr">
        <is>
          <t>OK (≤ menor hist.)</t>
        </is>
      </c>
      <c r="Q63" s="8" t="inlineStr">
        <is>
          <t>sem estoque na Nazária</t>
        </is>
      </c>
    </row>
    <row r="64">
      <c r="A64" s="8" t="n">
        <v>654251</v>
      </c>
      <c r="B64" s="8" t="inlineStr">
        <is>
          <t>7897337716215</t>
        </is>
      </c>
      <c r="C64" s="8" t="inlineStr">
        <is>
          <t>CERAZETTE 75MCG 28CPR</t>
        </is>
      </c>
      <c r="D64" s="9" t="n">
        <v>1</v>
      </c>
      <c r="E64" s="9" t="n">
        <v>6</v>
      </c>
      <c r="F64" s="9" t="n">
        <v>6</v>
      </c>
      <c r="G64" s="10" t="n">
        <v>37.81</v>
      </c>
      <c r="H64" s="10" t="n">
        <v>35.07</v>
      </c>
      <c r="I64" s="10" t="n">
        <v>37.81</v>
      </c>
      <c r="J64" s="10" t="n"/>
      <c r="K64" s="10" t="n"/>
      <c r="L64" s="10" t="n">
        <v>46.93</v>
      </c>
      <c r="M64" s="8" t="inlineStr">
        <is>
          <t>EPAN</t>
        </is>
      </c>
      <c r="N64" s="10" t="n">
        <v>37.81</v>
      </c>
      <c r="O64" s="11">
        <f>N64/G64-1</f>
        <v/>
      </c>
      <c r="P64" s="12" t="inlineStr">
        <is>
          <t>OK (≤ últ. compra)</t>
        </is>
      </c>
      <c r="Q64" s="8" t="inlineStr"/>
    </row>
    <row r="65">
      <c r="A65" s="8" t="n">
        <v>293601</v>
      </c>
      <c r="B65" s="8" t="inlineStr">
        <is>
          <t>7896548140284</t>
        </is>
      </c>
      <c r="C65" s="8" t="inlineStr">
        <is>
          <t>CERUMIN 0,4+140MG SOL OTO FR GTS 8ML</t>
        </is>
      </c>
      <c r="D65" s="9" t="n">
        <v>1</v>
      </c>
      <c r="E65" s="9" t="n">
        <v>11</v>
      </c>
      <c r="F65" s="9" t="n">
        <v>11</v>
      </c>
      <c r="G65" s="10" t="n">
        <v>21.23</v>
      </c>
      <c r="H65" s="10" t="n">
        <v>13.7043</v>
      </c>
      <c r="I65" s="10" t="n">
        <v>22.54</v>
      </c>
      <c r="J65" s="10" t="n"/>
      <c r="K65" s="10" t="n">
        <v>21.23</v>
      </c>
      <c r="L65" s="10" t="n">
        <v>21.9123</v>
      </c>
      <c r="M65" s="8" t="inlineStr">
        <is>
          <t>TAPAJOS</t>
        </is>
      </c>
      <c r="N65" s="10" t="n">
        <v>21.23</v>
      </c>
      <c r="O65" s="11">
        <f>N65/G65-1</f>
        <v/>
      </c>
      <c r="P65" s="12" t="inlineStr">
        <is>
          <t>OK (≤ últ. compra)</t>
        </is>
      </c>
      <c r="Q65" s="8" t="inlineStr"/>
    </row>
    <row r="66">
      <c r="A66" s="8" t="n">
        <v>383</v>
      </c>
      <c r="B66" s="8" t="inlineStr">
        <is>
          <t>7897930777743</t>
        </is>
      </c>
      <c r="C66" s="8" t="inlineStr">
        <is>
          <t>CETAPHIL LOC HIDRATANTE 473ML</t>
        </is>
      </c>
      <c r="D66" s="9" t="n">
        <v>1</v>
      </c>
      <c r="E66" s="9" t="n">
        <v>2</v>
      </c>
      <c r="F66" s="9" t="n">
        <v>2</v>
      </c>
      <c r="G66" s="10" t="n">
        <v>102.75</v>
      </c>
      <c r="H66" s="10" t="n">
        <v>85.77</v>
      </c>
      <c r="I66" s="10" t="n">
        <v>85.77</v>
      </c>
      <c r="J66" s="10" t="n"/>
      <c r="K66" s="10" t="n"/>
      <c r="L66" s="10" t="n">
        <v>113.9</v>
      </c>
      <c r="M66" s="8" t="inlineStr">
        <is>
          <t>EPAN</t>
        </is>
      </c>
      <c r="N66" s="10" t="n">
        <v>85.77</v>
      </c>
      <c r="O66" s="11">
        <f>N66/G66-1</f>
        <v/>
      </c>
      <c r="P66" s="12" t="inlineStr">
        <is>
          <t>OK (≤ menor hist.)</t>
        </is>
      </c>
      <c r="Q66" s="8" t="inlineStr"/>
    </row>
    <row r="67">
      <c r="A67" s="8" t="n">
        <v>963</v>
      </c>
      <c r="B67" s="8" t="inlineStr">
        <is>
          <t>7908615000169</t>
        </is>
      </c>
      <c r="C67" s="8" t="inlineStr">
        <is>
          <t>CICAPLAST B5 PLUS 20ML-DEMAIS PROD</t>
        </is>
      </c>
      <c r="D67" s="9" t="n">
        <v>1</v>
      </c>
      <c r="E67" s="9" t="n">
        <v>3</v>
      </c>
      <c r="F67" s="9" t="n">
        <v>3</v>
      </c>
      <c r="G67" s="10" t="n">
        <v>44.74</v>
      </c>
      <c r="H67" s="10" t="n">
        <v>35.88</v>
      </c>
      <c r="I67" s="10" t="n">
        <v>39.44</v>
      </c>
      <c r="J67" s="10" t="n"/>
      <c r="K67" s="10" t="n"/>
      <c r="L67" s="10" t="n">
        <v>44.8032</v>
      </c>
      <c r="M67" s="8" t="inlineStr">
        <is>
          <t>EPAN</t>
        </is>
      </c>
      <c r="N67" s="10" t="n">
        <v>39.44</v>
      </c>
      <c r="O67" s="11">
        <f>N67/G67-1</f>
        <v/>
      </c>
      <c r="P67" s="12" t="inlineStr">
        <is>
          <t>OK (≤ últ. compra)</t>
        </is>
      </c>
      <c r="Q67" s="8" t="inlineStr"/>
    </row>
    <row r="68">
      <c r="A68" s="8" t="n">
        <v>628631</v>
      </c>
      <c r="B68" s="8" t="inlineStr">
        <is>
          <t>7898636191802</t>
        </is>
      </c>
      <c r="C68" s="8" t="inlineStr">
        <is>
          <t>CICATRICURE AGUA MICELAR 380ML</t>
        </is>
      </c>
      <c r="D68" s="9" t="n">
        <v>1</v>
      </c>
      <c r="E68" s="9" t="n">
        <v>1</v>
      </c>
      <c r="F68" s="9" t="n">
        <v>1</v>
      </c>
      <c r="G68" s="10" t="n">
        <v>28.13</v>
      </c>
      <c r="H68" s="10" t="n">
        <v>28.13</v>
      </c>
      <c r="I68" s="10" t="n"/>
      <c r="J68" s="10" t="n"/>
      <c r="K68" s="10" t="n"/>
      <c r="L68" s="10" t="n">
        <v>30.76</v>
      </c>
      <c r="M68" s="8" t="inlineStr">
        <is>
          <t>SEM COTAÇÃO</t>
        </is>
      </c>
      <c r="N68" s="10" t="n"/>
      <c r="O68" s="11" t="n"/>
      <c r="P68" s="8" t="inlineStr"/>
      <c r="Q68" s="8" t="inlineStr">
        <is>
          <t>sem estoque na Nazária</t>
        </is>
      </c>
    </row>
    <row r="69">
      <c r="A69" s="8" t="n">
        <v>594261</v>
      </c>
      <c r="B69" s="8" t="inlineStr">
        <is>
          <t>7898949409625</t>
        </is>
      </c>
      <c r="C69" s="8" t="inlineStr">
        <is>
          <t>CICATRICURE GEL CICATRIZ/ESTRIAS 30G</t>
        </is>
      </c>
      <c r="D69" s="9" t="n">
        <v>1</v>
      </c>
      <c r="E69" s="9" t="n">
        <v>1</v>
      </c>
      <c r="F69" s="9" t="n">
        <v>1</v>
      </c>
      <c r="G69" s="10" t="n">
        <v>24.85</v>
      </c>
      <c r="H69" s="10" t="n">
        <v>16.73</v>
      </c>
      <c r="I69" s="10" t="n">
        <v>23.82</v>
      </c>
      <c r="J69" s="10" t="n"/>
      <c r="K69" s="10" t="n"/>
      <c r="L69" s="10" t="n">
        <v>30.28</v>
      </c>
      <c r="M69" s="8" t="inlineStr">
        <is>
          <t>EPAN</t>
        </is>
      </c>
      <c r="N69" s="10" t="n">
        <v>23.82</v>
      </c>
      <c r="O69" s="11">
        <f>N69/G69-1</f>
        <v/>
      </c>
      <c r="P69" s="12" t="inlineStr">
        <is>
          <t>OK (≤ últ. compra)</t>
        </is>
      </c>
      <c r="Q69" s="8" t="inlineStr"/>
    </row>
    <row r="70">
      <c r="A70" s="8" t="n">
        <v>161441</v>
      </c>
      <c r="B70" s="8" t="inlineStr">
        <is>
          <t>7896548113479</t>
        </is>
      </c>
      <c r="C70" s="8" t="inlineStr">
        <is>
          <t>CLARIL 0,25+3MG SOL FR OFT GTS 15ML</t>
        </is>
      </c>
      <c r="D70" s="9" t="n">
        <v>1</v>
      </c>
      <c r="E70" s="9" t="n">
        <v>1</v>
      </c>
      <c r="F70" s="9" t="n">
        <v>1</v>
      </c>
      <c r="G70" s="10" t="n">
        <v>21.37</v>
      </c>
      <c r="H70" s="10" t="n">
        <v>18.9119</v>
      </c>
      <c r="I70" s="10" t="n">
        <v>21.37</v>
      </c>
      <c r="J70" s="10" t="n">
        <v>23.5</v>
      </c>
      <c r="K70" s="10" t="n">
        <v>22.74</v>
      </c>
      <c r="L70" s="10" t="n">
        <v>22.4967</v>
      </c>
      <c r="M70" s="8" t="inlineStr">
        <is>
          <t>EPAN</t>
        </is>
      </c>
      <c r="N70" s="10" t="n">
        <v>21.37</v>
      </c>
      <c r="O70" s="11">
        <f>N70/G70-1</f>
        <v/>
      </c>
      <c r="P70" s="12" t="inlineStr">
        <is>
          <t>OK (≤ últ. compra)</t>
        </is>
      </c>
      <c r="Q70" s="8" t="inlineStr"/>
    </row>
    <row r="71">
      <c r="A71" s="8" t="n">
        <v>135661</v>
      </c>
      <c r="B71" s="8" t="inlineStr">
        <is>
          <t>7891158106965</t>
        </is>
      </c>
      <c r="C71" s="8" t="inlineStr">
        <is>
          <t>COBAVITAL 1+4MG 16 COMP</t>
        </is>
      </c>
      <c r="D71" s="9" t="n">
        <v>1</v>
      </c>
      <c r="E71" s="9" t="n">
        <v>5</v>
      </c>
      <c r="F71" s="9" t="n">
        <v>5</v>
      </c>
      <c r="G71" s="10" t="n">
        <v>21.67</v>
      </c>
      <c r="H71" s="10" t="n">
        <v>18.21</v>
      </c>
      <c r="I71" s="10" t="n"/>
      <c r="J71" s="10" t="n">
        <v>22.4</v>
      </c>
      <c r="K71" s="10" t="n">
        <v>21.67</v>
      </c>
      <c r="L71" s="10" t="n">
        <v>23.04</v>
      </c>
      <c r="M71" s="8" t="inlineStr">
        <is>
          <t>TAPAJOS</t>
        </is>
      </c>
      <c r="N71" s="10" t="n">
        <v>21.67</v>
      </c>
      <c r="O71" s="11">
        <f>N71/G71-1</f>
        <v/>
      </c>
      <c r="P71" s="12" t="inlineStr">
        <is>
          <t>OK (≤ últ. compra)</t>
        </is>
      </c>
      <c r="Q71" s="8" t="inlineStr"/>
    </row>
    <row r="72">
      <c r="A72" s="8" t="n">
        <v>661331</v>
      </c>
      <c r="B72" s="8" t="inlineStr">
        <is>
          <t>7891158106897</t>
        </is>
      </c>
      <c r="C72" s="8" t="inlineStr">
        <is>
          <t>COBAVITAL 30CPR</t>
        </is>
      </c>
      <c r="D72" s="9" t="n">
        <v>1</v>
      </c>
      <c r="E72" s="9" t="n">
        <v>1</v>
      </c>
      <c r="F72" s="9" t="n">
        <v>1</v>
      </c>
      <c r="G72" s="10" t="n">
        <v>34.36</v>
      </c>
      <c r="H72" s="10" t="n">
        <v>26.64</v>
      </c>
      <c r="I72" s="10" t="n"/>
      <c r="J72" s="10" t="n">
        <v>35.5</v>
      </c>
      <c r="K72" s="10" t="n">
        <v>34.36</v>
      </c>
      <c r="L72" s="10" t="n">
        <v>36.55</v>
      </c>
      <c r="M72" s="8" t="inlineStr">
        <is>
          <t>TAPAJOS</t>
        </is>
      </c>
      <c r="N72" s="10" t="n">
        <v>34.36</v>
      </c>
      <c r="O72" s="11">
        <f>N72/G72-1</f>
        <v/>
      </c>
      <c r="P72" s="12" t="inlineStr">
        <is>
          <t>OK (≤ últ. compra)</t>
        </is>
      </c>
      <c r="Q72" s="8" t="inlineStr"/>
    </row>
    <row r="73">
      <c r="A73" s="8" t="n">
        <v>674291</v>
      </c>
      <c r="B73" s="8" t="inlineStr">
        <is>
          <t>7896637035736</t>
        </is>
      </c>
      <c r="C73" s="8" t="inlineStr">
        <is>
          <t>COBI-12 1000MCG C/30 COMP SUBL-OUTROS</t>
        </is>
      </c>
      <c r="D73" s="9" t="n">
        <v>1</v>
      </c>
      <c r="E73" s="9" t="n">
        <v>14</v>
      </c>
      <c r="F73" s="9" t="n">
        <v>14</v>
      </c>
      <c r="G73" s="10" t="n">
        <v>22.805</v>
      </c>
      <c r="H73" s="10" t="n">
        <v>18.8279</v>
      </c>
      <c r="I73" s="10" t="n">
        <v>22.81</v>
      </c>
      <c r="J73" s="10" t="n">
        <v>25.6</v>
      </c>
      <c r="K73" s="10" t="n"/>
      <c r="L73" s="10" t="n">
        <v>26.44</v>
      </c>
      <c r="M73" s="8" t="inlineStr">
        <is>
          <t>EPAN</t>
        </is>
      </c>
      <c r="N73" s="10" t="n">
        <v>22.81</v>
      </c>
      <c r="O73" s="11">
        <f>N73/G73-1</f>
        <v/>
      </c>
      <c r="P73" s="13" t="inlineStr">
        <is>
          <t>ACIMA +0.0% (vs últ. compra)</t>
        </is>
      </c>
      <c r="Q73" s="8" t="inlineStr"/>
    </row>
    <row r="74">
      <c r="A74" s="8" t="n">
        <v>399321</v>
      </c>
      <c r="B74" s="8" t="inlineStr">
        <is>
          <t>7899420506918</t>
        </is>
      </c>
      <c r="C74" s="8" t="inlineStr">
        <is>
          <t>COD PAR 500+30MG CX 12 COMP</t>
        </is>
      </c>
      <c r="D74" s="9" t="n">
        <v>1</v>
      </c>
      <c r="E74" s="9" t="n">
        <v>1</v>
      </c>
      <c r="F74" s="9" t="n">
        <v>1</v>
      </c>
      <c r="G74" s="10" t="n">
        <v>23.005</v>
      </c>
      <c r="H74" s="10" t="n">
        <v>23.005</v>
      </c>
      <c r="I74" s="10" t="n"/>
      <c r="J74" s="10" t="n"/>
      <c r="K74" s="10" t="n"/>
      <c r="L74" s="10" t="n">
        <v>25.4784</v>
      </c>
      <c r="M74" s="8" t="inlineStr">
        <is>
          <t>NAZARIA</t>
        </is>
      </c>
      <c r="N74" s="10" t="n">
        <v>25.4784</v>
      </c>
      <c r="O74" s="11">
        <f>N74/G74-1</f>
        <v/>
      </c>
      <c r="P74" s="13" t="inlineStr">
        <is>
          <t>ACIMA +10.8% (vs últ. compra)</t>
        </is>
      </c>
      <c r="Q74" s="8" t="inlineStr"/>
    </row>
    <row r="75">
      <c r="A75" s="8" t="n">
        <v>515861</v>
      </c>
      <c r="B75" s="8" t="inlineStr">
        <is>
          <t>7896676438062</t>
        </is>
      </c>
      <c r="C75" s="8" t="inlineStr">
        <is>
          <t>CODEIN 30MG CX 12 COMP</t>
        </is>
      </c>
      <c r="D75" s="9" t="n">
        <v>1</v>
      </c>
      <c r="E75" s="9" t="n">
        <v>1</v>
      </c>
      <c r="F75" s="9" t="n">
        <v>1</v>
      </c>
      <c r="G75" s="10" t="n">
        <v>16.785</v>
      </c>
      <c r="H75" s="10" t="n">
        <v>16.785</v>
      </c>
      <c r="I75" s="10" t="n"/>
      <c r="J75" s="10" t="n"/>
      <c r="K75" s="10" t="n"/>
      <c r="L75" s="10" t="n"/>
      <c r="M75" s="8" t="inlineStr">
        <is>
          <t>SEM COTAÇÃO</t>
        </is>
      </c>
      <c r="N75" s="10" t="n"/>
      <c r="O75" s="11" t="n"/>
      <c r="P75" s="8" t="inlineStr"/>
      <c r="Q75" s="8" t="inlineStr"/>
    </row>
    <row r="76">
      <c r="A76" s="8" t="n">
        <v>114941</v>
      </c>
      <c r="B76" s="8" t="inlineStr">
        <is>
          <t>7899824400928</t>
        </is>
      </c>
      <c r="C76" s="8" t="inlineStr">
        <is>
          <t>COLPIST MT 62,5+1,25MG/G+25000UI/G CREM BG 40G+10APLIC</t>
        </is>
      </c>
      <c r="D76" s="9" t="n">
        <v>1</v>
      </c>
      <c r="E76" s="9" t="n">
        <v>2</v>
      </c>
      <c r="F76" s="9" t="n">
        <v>2</v>
      </c>
      <c r="G76" s="10" t="n">
        <v>45.99</v>
      </c>
      <c r="H76" s="10" t="n">
        <v>35.9767</v>
      </c>
      <c r="I76" s="10" t="n">
        <v>35.98</v>
      </c>
      <c r="J76" s="10" t="n"/>
      <c r="K76" s="10" t="n"/>
      <c r="L76" s="10" t="n">
        <v>37.468</v>
      </c>
      <c r="M76" s="8" t="inlineStr">
        <is>
          <t>EPAN</t>
        </is>
      </c>
      <c r="N76" s="10" t="n">
        <v>35.98</v>
      </c>
      <c r="O76" s="11">
        <f>N76/G76-1</f>
        <v/>
      </c>
      <c r="P76" s="12" t="inlineStr">
        <is>
          <t>OK (≤ últ. compra)</t>
        </is>
      </c>
      <c r="Q76" s="8" t="inlineStr"/>
    </row>
    <row r="77">
      <c r="A77" s="8" t="n">
        <v>666021</v>
      </c>
      <c r="B77" s="8" t="inlineStr">
        <is>
          <t>7891317033149</t>
        </is>
      </c>
      <c r="C77" s="8" t="inlineStr">
        <is>
          <t>COLTRAX 4MG CX 20 COMP</t>
        </is>
      </c>
      <c r="D77" s="9" t="n">
        <v>1</v>
      </c>
      <c r="E77" s="9" t="n">
        <v>1</v>
      </c>
      <c r="F77" s="9" t="n">
        <v>1</v>
      </c>
      <c r="G77" s="10" t="n">
        <v>50.695</v>
      </c>
      <c r="H77" s="10" t="n">
        <v>50.695</v>
      </c>
      <c r="I77" s="10" t="n">
        <v>52.7</v>
      </c>
      <c r="J77" s="10" t="n"/>
      <c r="K77" s="10" t="n"/>
      <c r="L77" s="10" t="n"/>
      <c r="M77" s="8" t="inlineStr">
        <is>
          <t>SEM COTAÇÃO</t>
        </is>
      </c>
      <c r="N77" s="10" t="n"/>
      <c r="O77" s="11" t="n"/>
      <c r="P77" s="8" t="inlineStr"/>
      <c r="Q77" s="8" t="inlineStr">
        <is>
          <t>sem estoque no ePan</t>
        </is>
      </c>
    </row>
    <row r="78">
      <c r="A78" s="8" t="n">
        <v>6561</v>
      </c>
      <c r="B78" s="8" t="inlineStr">
        <is>
          <t>7894916502900</t>
        </is>
      </c>
      <c r="C78" s="8" t="inlineStr">
        <is>
          <t>CONTRACEP SUS INJ 1 FA X 1ML</t>
        </is>
      </c>
      <c r="D78" s="9" t="n">
        <v>1</v>
      </c>
      <c r="E78" s="9" t="n">
        <v>8</v>
      </c>
      <c r="F78" s="9" t="n">
        <v>8</v>
      </c>
      <c r="G78" s="10" t="n">
        <v>23.69</v>
      </c>
      <c r="H78" s="10" t="n">
        <v>22.9</v>
      </c>
      <c r="I78" s="10" t="n"/>
      <c r="J78" s="10" t="n">
        <v>24.7</v>
      </c>
      <c r="K78" s="10" t="n">
        <v>23.94</v>
      </c>
      <c r="L78" s="10" t="n">
        <v>24.4512</v>
      </c>
      <c r="M78" s="8" t="inlineStr">
        <is>
          <t>TAPAJOS</t>
        </is>
      </c>
      <c r="N78" s="10" t="n">
        <v>23.94</v>
      </c>
      <c r="O78" s="11">
        <f>N78/G78-1</f>
        <v/>
      </c>
      <c r="P78" s="13" t="inlineStr">
        <is>
          <t>ACIMA +1.1% (vs últ. compra)</t>
        </is>
      </c>
      <c r="Q78" s="8" t="inlineStr"/>
    </row>
    <row r="79">
      <c r="A79" s="8" t="n">
        <v>90721</v>
      </c>
      <c r="B79" s="8" t="inlineStr">
        <is>
          <t>7891317137557</t>
        </is>
      </c>
      <c r="C79" s="8" t="inlineStr">
        <is>
          <t>COQUES 200MG CX 10 CAP</t>
        </is>
      </c>
      <c r="D79" s="9" t="n">
        <v>1</v>
      </c>
      <c r="E79" s="9" t="n">
        <v>1</v>
      </c>
      <c r="F79" s="9" t="n">
        <v>1</v>
      </c>
      <c r="G79" s="10" t="n">
        <v>34.79</v>
      </c>
      <c r="H79" s="10" t="n">
        <v>30.618</v>
      </c>
      <c r="I79" s="10" t="n">
        <v>34.79</v>
      </c>
      <c r="J79" s="10" t="n">
        <v>34.9</v>
      </c>
      <c r="K79" s="10" t="n">
        <v>33.84</v>
      </c>
      <c r="L79" s="10" t="n">
        <v>34.5504</v>
      </c>
      <c r="M79" s="8" t="inlineStr">
        <is>
          <t>TAPAJOS</t>
        </is>
      </c>
      <c r="N79" s="10" t="n">
        <v>33.84</v>
      </c>
      <c r="O79" s="11">
        <f>N79/G79-1</f>
        <v/>
      </c>
      <c r="P79" s="12" t="inlineStr">
        <is>
          <t>OK (≤ últ. compra)</t>
        </is>
      </c>
      <c r="Q79" s="8" t="inlineStr"/>
    </row>
    <row r="80">
      <c r="A80" s="8" t="n">
        <v>550761</v>
      </c>
      <c r="B80" s="8" t="inlineStr">
        <is>
          <t>7896015592707</t>
        </is>
      </c>
      <c r="C80" s="8" t="inlineStr">
        <is>
          <t>COREGA PO UNITARIO 22G - MENTA (FRAÇÃO)</t>
        </is>
      </c>
      <c r="D80" s="9" t="n">
        <v>3</v>
      </c>
      <c r="E80" s="9" t="n">
        <v>1</v>
      </c>
      <c r="F80" s="9" t="n">
        <v>3</v>
      </c>
      <c r="G80" s="10" t="n">
        <v>15.5773333333333</v>
      </c>
      <c r="H80" s="10" t="n">
        <v>6.52</v>
      </c>
      <c r="I80" s="10" t="n"/>
      <c r="J80" s="10" t="n"/>
      <c r="K80" s="10" t="n"/>
      <c r="L80" s="10" t="n"/>
      <c r="M80" s="8" t="inlineStr">
        <is>
          <t>SEM COTAÇÃO</t>
        </is>
      </c>
      <c r="N80" s="10" t="n"/>
      <c r="O80" s="11" t="n"/>
      <c r="P80" s="8" t="inlineStr"/>
      <c r="Q80" s="8" t="inlineStr"/>
    </row>
    <row r="81">
      <c r="A81" s="8" t="n">
        <v>594521</v>
      </c>
      <c r="B81" s="8" t="inlineStr">
        <is>
          <t>0000042360407</t>
        </is>
      </c>
      <c r="C81" s="8" t="inlineStr">
        <is>
          <t>CR FACIAL NIVEA NUTRITIVO 100G</t>
        </is>
      </c>
      <c r="D81" s="9" t="n">
        <v>1</v>
      </c>
      <c r="E81" s="9" t="n">
        <v>2</v>
      </c>
      <c r="F81" s="9" t="n">
        <v>2</v>
      </c>
      <c r="G81" s="10" t="n">
        <v>23.392</v>
      </c>
      <c r="H81" s="10" t="n">
        <v>20.9117</v>
      </c>
      <c r="I81" s="10" t="n"/>
      <c r="J81" s="10" t="n"/>
      <c r="K81" s="10" t="n"/>
      <c r="L81" s="10" t="n">
        <v>29.99</v>
      </c>
      <c r="M81" s="8" t="inlineStr">
        <is>
          <t>NAZARIA</t>
        </is>
      </c>
      <c r="N81" s="10" t="n">
        <v>29.99</v>
      </c>
      <c r="O81" s="11">
        <f>N81/G81-1</f>
        <v/>
      </c>
      <c r="P81" s="13" t="inlineStr">
        <is>
          <t>ACIMA +28.2% (vs últ. compra)</t>
        </is>
      </c>
      <c r="Q81" s="8" t="inlineStr"/>
    </row>
    <row r="82">
      <c r="A82" s="8" t="n">
        <v>556501</v>
      </c>
      <c r="B82" s="8" t="inlineStr">
        <is>
          <t>42277217</t>
        </is>
      </c>
      <c r="C82" s="8" t="inlineStr">
        <is>
          <t>CR NIVEA 29G</t>
        </is>
      </c>
      <c r="D82" s="9" t="n">
        <v>1</v>
      </c>
      <c r="E82" s="9" t="n">
        <v>2</v>
      </c>
      <c r="F82" s="9" t="n">
        <v>2</v>
      </c>
      <c r="G82" s="10" t="n">
        <v>14.24</v>
      </c>
      <c r="H82" s="10" t="n">
        <v>8.833299999999999</v>
      </c>
      <c r="I82" s="10" t="n">
        <v>11.57</v>
      </c>
      <c r="J82" s="10" t="n"/>
      <c r="K82" s="10" t="n"/>
      <c r="L82" s="10" t="n">
        <v>15.32</v>
      </c>
      <c r="M82" s="8" t="inlineStr">
        <is>
          <t>EPAN</t>
        </is>
      </c>
      <c r="N82" s="10" t="n">
        <v>11.57</v>
      </c>
      <c r="O82" s="11">
        <f>N82/G82-1</f>
        <v/>
      </c>
      <c r="P82" s="12" t="inlineStr">
        <is>
          <t>OK (≤ últ. compra)</t>
        </is>
      </c>
      <c r="Q82" s="8" t="inlineStr"/>
    </row>
    <row r="83">
      <c r="A83" s="8" t="n">
        <v>576481</v>
      </c>
      <c r="B83" s="8" t="inlineStr">
        <is>
          <t>4005808890590</t>
        </is>
      </c>
      <c r="C83" s="8" t="inlineStr">
        <is>
          <t>CR NIVEA SOFT HIDRAT.97G</t>
        </is>
      </c>
      <c r="D83" s="9" t="n">
        <v>1</v>
      </c>
      <c r="E83" s="9" t="n">
        <v>3</v>
      </c>
      <c r="F83" s="9" t="n">
        <v>3</v>
      </c>
      <c r="G83" s="10" t="n">
        <v>29.8083333333333</v>
      </c>
      <c r="H83" s="10" t="n">
        <v>29.8083</v>
      </c>
      <c r="I83" s="10" t="n"/>
      <c r="J83" s="10" t="n"/>
      <c r="K83" s="10" t="n"/>
      <c r="L83" s="10" t="n">
        <v>34.14</v>
      </c>
      <c r="M83" s="8" t="inlineStr">
        <is>
          <t>NAZARIA</t>
        </is>
      </c>
      <c r="N83" s="10" t="n">
        <v>34.14</v>
      </c>
      <c r="O83" s="11">
        <f>N83/G83-1</f>
        <v/>
      </c>
      <c r="P83" s="13" t="inlineStr">
        <is>
          <t>ACIMA +14.5% (vs últ. compra)</t>
        </is>
      </c>
      <c r="Q83" s="8" t="inlineStr"/>
    </row>
    <row r="84">
      <c r="A84" s="8" t="n">
        <v>666311</v>
      </c>
      <c r="B84" s="8" t="inlineStr">
        <is>
          <t>070341368732</t>
        </is>
      </c>
      <c r="C84" s="8" t="inlineStr">
        <is>
          <t>CREME HIDRATANTE 5% MANTEIGA DE KARITE + 5% GLICERINA + 2% NIACINAMIDA PRINCIPIA SKINCARE CH-01 COM</t>
        </is>
      </c>
      <c r="D84" s="9" t="n">
        <v>1</v>
      </c>
      <c r="E84" s="9" t="n">
        <v>1</v>
      </c>
      <c r="F84" s="9" t="n">
        <v>1</v>
      </c>
      <c r="G84" s="10" t="n">
        <v>27.3</v>
      </c>
      <c r="H84" s="10" t="n">
        <v>27.3</v>
      </c>
      <c r="I84" s="10" t="n"/>
      <c r="J84" s="10" t="n"/>
      <c r="K84" s="10" t="n"/>
      <c r="L84" s="10" t="n">
        <v>32.51</v>
      </c>
      <c r="M84" s="8" t="inlineStr">
        <is>
          <t>NAZARIA</t>
        </is>
      </c>
      <c r="N84" s="10" t="n">
        <v>32.51</v>
      </c>
      <c r="O84" s="11">
        <f>N84/G84-1</f>
        <v/>
      </c>
      <c r="P84" s="13" t="inlineStr">
        <is>
          <t>ACIMA +19.1% (vs últ. compra)</t>
        </is>
      </c>
      <c r="Q84" s="8" t="inlineStr"/>
    </row>
    <row r="85">
      <c r="A85" s="8" t="n">
        <v>413841</v>
      </c>
      <c r="B85" s="8" t="inlineStr">
        <is>
          <t>7896070600249</t>
        </is>
      </c>
      <c r="C85" s="8" t="inlineStr">
        <is>
          <t>CREMEFENERGAN 20MG/G CREM DERM BG 30G</t>
        </is>
      </c>
      <c r="D85" s="9" t="n">
        <v>1</v>
      </c>
      <c r="E85" s="9" t="n">
        <v>1</v>
      </c>
      <c r="F85" s="9" t="n">
        <v>1</v>
      </c>
      <c r="G85" s="10" t="n">
        <v>19.0733333333333</v>
      </c>
      <c r="H85" s="10" t="n">
        <v>19.0733</v>
      </c>
      <c r="I85" s="10" t="n"/>
      <c r="J85" s="10" t="n"/>
      <c r="K85" s="10" t="n"/>
      <c r="L85" s="10" t="n"/>
      <c r="M85" s="8" t="inlineStr">
        <is>
          <t>SEM COTAÇÃO</t>
        </is>
      </c>
      <c r="N85" s="10" t="n"/>
      <c r="O85" s="11" t="n"/>
      <c r="P85" s="8" t="inlineStr"/>
      <c r="Q85" s="8" t="inlineStr"/>
    </row>
    <row r="86">
      <c r="A86" s="8" t="n">
        <v>463461</v>
      </c>
      <c r="B86" s="8" t="inlineStr">
        <is>
          <t>7891317136468</t>
        </is>
      </c>
      <c r="C86" s="8" t="inlineStr">
        <is>
          <t>CREVAGIN 30+20MG CREM VAG BG X 40G +7APLIC</t>
        </is>
      </c>
      <c r="D86" s="9" t="n">
        <v>1</v>
      </c>
      <c r="E86" s="9" t="n">
        <v>3</v>
      </c>
      <c r="F86" s="9" t="n">
        <v>3</v>
      </c>
      <c r="G86" s="10" t="n">
        <v>38.8</v>
      </c>
      <c r="H86" s="10" t="n">
        <v>35.79</v>
      </c>
      <c r="I86" s="10" t="n"/>
      <c r="J86" s="10" t="n"/>
      <c r="K86" s="10" t="n">
        <v>38.8</v>
      </c>
      <c r="L86" s="10" t="n">
        <v>39.6288</v>
      </c>
      <c r="M86" s="8" t="inlineStr">
        <is>
          <t>TAPAJOS</t>
        </is>
      </c>
      <c r="N86" s="10" t="n">
        <v>38.8</v>
      </c>
      <c r="O86" s="11">
        <f>N86/G86-1</f>
        <v/>
      </c>
      <c r="P86" s="12" t="inlineStr">
        <is>
          <t>OK (≤ últ. compra)</t>
        </is>
      </c>
      <c r="Q86" s="8" t="inlineStr"/>
    </row>
    <row r="87">
      <c r="A87" s="8" t="n">
        <v>198541</v>
      </c>
      <c r="B87" s="8" t="inlineStr">
        <is>
          <t>7897316801390</t>
        </is>
      </c>
      <c r="C87" s="8" t="inlineStr">
        <is>
          <t>CROMOLERG 2% SOL OCUL FR 5ML</t>
        </is>
      </c>
      <c r="D87" s="9" t="n">
        <v>1</v>
      </c>
      <c r="E87" s="9" t="n">
        <v>1</v>
      </c>
      <c r="F87" s="9" t="n">
        <v>1</v>
      </c>
      <c r="G87" s="10" t="n">
        <v>11.5633333333333</v>
      </c>
      <c r="H87" s="10" t="n">
        <v>11.5633</v>
      </c>
      <c r="I87" s="10" t="n"/>
      <c r="J87" s="10" t="n">
        <v>12.5</v>
      </c>
      <c r="K87" s="10" t="n"/>
      <c r="L87" s="10" t="n">
        <v>11.822</v>
      </c>
      <c r="M87" s="8" t="inlineStr">
        <is>
          <t>NAZARIA</t>
        </is>
      </c>
      <c r="N87" s="10" t="n">
        <v>11.822</v>
      </c>
      <c r="O87" s="11">
        <f>N87/G87-1</f>
        <v/>
      </c>
      <c r="P87" s="13" t="inlineStr">
        <is>
          <t>ACIMA +2.2% (vs últ. compra)</t>
        </is>
      </c>
      <c r="Q87" s="8" t="inlineStr"/>
    </row>
    <row r="88">
      <c r="A88" s="8" t="n">
        <v>605281</v>
      </c>
      <c r="B88" s="8" t="inlineStr">
        <is>
          <t>7893454714783</t>
        </is>
      </c>
      <c r="C88" s="8" t="inlineStr">
        <is>
          <t>CULTURELLE PROBIOTICO CX 30 SACHES</t>
        </is>
      </c>
      <c r="D88" s="9" t="n">
        <v>1</v>
      </c>
      <c r="E88" s="9" t="n">
        <v>1</v>
      </c>
      <c r="F88" s="9" t="n">
        <v>1</v>
      </c>
      <c r="G88" s="10" t="n">
        <v>181.57</v>
      </c>
      <c r="H88" s="10" t="n">
        <v>181.57</v>
      </c>
      <c r="I88" s="10" t="n"/>
      <c r="J88" s="10" t="n"/>
      <c r="K88" s="10" t="n"/>
      <c r="L88" s="10" t="n"/>
      <c r="M88" s="8" t="inlineStr">
        <is>
          <t>SEM COTAÇÃO</t>
        </is>
      </c>
      <c r="N88" s="10" t="n"/>
      <c r="O88" s="11" t="n"/>
      <c r="P88" s="8" t="inlineStr"/>
      <c r="Q88" s="8" t="inlineStr"/>
    </row>
    <row r="89">
      <c r="A89" s="8" t="n">
        <v>626861</v>
      </c>
      <c r="B89" s="8" t="inlineStr">
        <is>
          <t>7893454714776</t>
        </is>
      </c>
      <c r="C89" s="8" t="inlineStr">
        <is>
          <t>CULTURELLE PROBIOTICO CX 6 SACHES</t>
        </is>
      </c>
      <c r="D89" s="9" t="n">
        <v>1</v>
      </c>
      <c r="E89" s="9" t="n">
        <v>1</v>
      </c>
      <c r="F89" s="9" t="n">
        <v>1</v>
      </c>
      <c r="G89" s="10" t="n">
        <v>42.06</v>
      </c>
      <c r="H89" s="10" t="n">
        <v>42.06</v>
      </c>
      <c r="I89" s="10" t="n"/>
      <c r="J89" s="10" t="n"/>
      <c r="K89" s="10" t="n"/>
      <c r="L89" s="10" t="n"/>
      <c r="M89" s="8" t="inlineStr">
        <is>
          <t>SEM COTAÇÃO</t>
        </is>
      </c>
      <c r="N89" s="10" t="n"/>
      <c r="O89" s="11" t="n"/>
      <c r="P89" s="8" t="inlineStr"/>
      <c r="Q89" s="8" t="inlineStr"/>
    </row>
    <row r="90">
      <c r="A90" s="8" t="n">
        <v>651401</v>
      </c>
      <c r="B90" s="8" t="inlineStr">
        <is>
          <t>7896676440508</t>
        </is>
      </c>
      <c r="C90" s="8" t="inlineStr">
        <is>
          <t>CUTISANOL BABY CREME 45G-DEMAIS PROD</t>
        </is>
      </c>
      <c r="D90" s="9" t="n">
        <v>1</v>
      </c>
      <c r="E90" s="9" t="n">
        <v>1</v>
      </c>
      <c r="F90" s="9" t="n">
        <v>1</v>
      </c>
      <c r="G90" s="10" t="n">
        <v>11.58</v>
      </c>
      <c r="H90" s="10" t="n">
        <v>11.58</v>
      </c>
      <c r="I90" s="10" t="n"/>
      <c r="J90" s="10" t="n"/>
      <c r="K90" s="10" t="n"/>
      <c r="L90" s="10" t="n">
        <v>17.10945</v>
      </c>
      <c r="M90" s="8" t="inlineStr">
        <is>
          <t>SEM COTAÇÃO</t>
        </is>
      </c>
      <c r="N90" s="10" t="n"/>
      <c r="O90" s="11" t="n"/>
      <c r="P90" s="8" t="inlineStr"/>
      <c r="Q90" s="8" t="inlineStr">
        <is>
          <t>sem estoque na Nazária</t>
        </is>
      </c>
    </row>
    <row r="91">
      <c r="A91" s="8" t="n">
        <v>605211</v>
      </c>
      <c r="B91" s="8" t="inlineStr">
        <is>
          <t>7896316101424</t>
        </is>
      </c>
      <c r="C91" s="8" t="inlineStr">
        <is>
          <t>CYCLOFEMINA 25MG+5MG/0,5ML SUS INJ 1 AMP X 0,5ML</t>
        </is>
      </c>
      <c r="D91" s="9" t="n">
        <v>1</v>
      </c>
      <c r="E91" s="9" t="n">
        <v>5</v>
      </c>
      <c r="F91" s="9" t="n">
        <v>5</v>
      </c>
      <c r="G91" s="10" t="n">
        <v>27.9721428571429</v>
      </c>
      <c r="H91" s="10" t="n">
        <v>27.9721</v>
      </c>
      <c r="I91" s="10" t="n">
        <v>31.16</v>
      </c>
      <c r="J91" s="10" t="n"/>
      <c r="K91" s="10" t="n"/>
      <c r="L91" s="10" t="n">
        <v>34.07</v>
      </c>
      <c r="M91" s="8" t="inlineStr">
        <is>
          <t>SEM COTAÇÃO</t>
        </is>
      </c>
      <c r="N91" s="10" t="n"/>
      <c r="O91" s="11" t="n"/>
      <c r="P91" s="8" t="inlineStr"/>
      <c r="Q91" s="8" t="inlineStr">
        <is>
          <t>sem estoque na Nazária; sem estoque no ePan</t>
        </is>
      </c>
    </row>
    <row r="92">
      <c r="A92" s="8" t="n">
        <v>347821</v>
      </c>
      <c r="B92" s="8" t="inlineStr">
        <is>
          <t>7896212479825</t>
        </is>
      </c>
      <c r="C92" s="8" t="inlineStr">
        <is>
          <t>DAKTARIN GEL ORAL 20MG/G GEL ORAL BG 40G</t>
        </is>
      </c>
      <c r="D92" s="9" t="n">
        <v>1</v>
      </c>
      <c r="E92" s="9" t="n">
        <v>1</v>
      </c>
      <c r="F92" s="9" t="n">
        <v>1</v>
      </c>
      <c r="G92" s="10" t="n">
        <v>35.785</v>
      </c>
      <c r="H92" s="10" t="n">
        <v>35.785</v>
      </c>
      <c r="I92" s="10" t="n"/>
      <c r="J92" s="10" t="n"/>
      <c r="K92" s="10" t="n"/>
      <c r="L92" s="10" t="n"/>
      <c r="M92" s="8" t="inlineStr">
        <is>
          <t>SEM COTAÇÃO</t>
        </is>
      </c>
      <c r="N92" s="10" t="n"/>
      <c r="O92" s="11" t="n"/>
      <c r="P92" s="8" t="inlineStr"/>
      <c r="Q92" s="8" t="inlineStr"/>
    </row>
    <row r="93">
      <c r="A93" s="8" t="n">
        <v>238741</v>
      </c>
      <c r="B93" s="8" t="inlineStr">
        <is>
          <t>7894916509831</t>
        </is>
      </c>
      <c r="C93" s="8" t="inlineStr">
        <is>
          <t>DALYNE 3+0,03MG CAIXA C/ 3 CARTELAS</t>
        </is>
      </c>
      <c r="D93" s="9" t="n">
        <v>1</v>
      </c>
      <c r="E93" s="9" t="n">
        <v>1</v>
      </c>
      <c r="F93" s="9" t="n">
        <v>1</v>
      </c>
      <c r="G93" s="10" t="n">
        <v>31.4766666666667</v>
      </c>
      <c r="H93" s="10" t="n">
        <v>31.4766666666667</v>
      </c>
      <c r="I93" s="10" t="n"/>
      <c r="J93" s="10" t="n"/>
      <c r="K93" s="10" t="n"/>
      <c r="L93" s="10" t="n">
        <v>91.82400000000001</v>
      </c>
      <c r="M93" s="8" t="inlineStr">
        <is>
          <t>NAZARIA</t>
        </is>
      </c>
      <c r="N93" s="10" t="n">
        <v>91.82400000000001</v>
      </c>
      <c r="O93" s="11">
        <f>N93/G93-1</f>
        <v/>
      </c>
      <c r="P93" s="13" t="inlineStr">
        <is>
          <t>ACIMA +191.7% (vs últ. compra)</t>
        </is>
      </c>
      <c r="Q93" s="8" t="inlineStr"/>
    </row>
    <row r="94">
      <c r="A94" s="8" t="n">
        <v>6581</v>
      </c>
      <c r="B94" s="8" t="inlineStr">
        <is>
          <t>7891268101799</t>
        </is>
      </c>
      <c r="C94" s="8" t="inlineStr">
        <is>
          <t>DEPO PROVERA 150MG SUS INJ 1FA X 1ML</t>
        </is>
      </c>
      <c r="D94" s="9" t="n">
        <v>1</v>
      </c>
      <c r="E94" s="9" t="n">
        <v>3</v>
      </c>
      <c r="F94" s="9" t="n">
        <v>3</v>
      </c>
      <c r="G94" s="10" t="n">
        <v>36.87</v>
      </c>
      <c r="H94" s="10" t="n">
        <v>33.56</v>
      </c>
      <c r="I94" s="10" t="n">
        <v>36.87</v>
      </c>
      <c r="J94" s="10" t="n"/>
      <c r="K94" s="10" t="n"/>
      <c r="L94" s="10" t="n">
        <v>37.35</v>
      </c>
      <c r="M94" s="8" t="inlineStr">
        <is>
          <t>EPAN</t>
        </is>
      </c>
      <c r="N94" s="10" t="n">
        <v>36.87</v>
      </c>
      <c r="O94" s="11">
        <f>N94/G94-1</f>
        <v/>
      </c>
      <c r="P94" s="12" t="inlineStr">
        <is>
          <t>OK (≤ últ. compra)</t>
        </is>
      </c>
      <c r="Q94" s="8" t="inlineStr"/>
    </row>
    <row r="95">
      <c r="A95" s="8" t="n">
        <v>603851</v>
      </c>
      <c r="B95" s="8" t="inlineStr">
        <is>
          <t>7891058003661</t>
        </is>
      </c>
      <c r="C95" s="8" t="inlineStr">
        <is>
          <t>DERMACYD SAB LIQ BREE 200ML</t>
        </is>
      </c>
      <c r="D95" s="9" t="n">
        <v>1</v>
      </c>
      <c r="E95" s="9" t="n">
        <v>3</v>
      </c>
      <c r="F95" s="9" t="n">
        <v>3</v>
      </c>
      <c r="G95" s="10" t="n">
        <v>18.92</v>
      </c>
      <c r="H95" s="10" t="n">
        <v>17.14</v>
      </c>
      <c r="I95" s="10" t="n">
        <v>19.95</v>
      </c>
      <c r="J95" s="10" t="n"/>
      <c r="K95" s="10" t="n"/>
      <c r="L95" s="10" t="n"/>
      <c r="M95" s="8" t="inlineStr">
        <is>
          <t>EPAN</t>
        </is>
      </c>
      <c r="N95" s="10" t="n">
        <v>19.95</v>
      </c>
      <c r="O95" s="11">
        <f>N95/G95-1</f>
        <v/>
      </c>
      <c r="P95" s="13" t="inlineStr">
        <is>
          <t>ACIMA +5.4% (vs últ. compra)</t>
        </is>
      </c>
      <c r="Q95" s="8" t="inlineStr"/>
    </row>
    <row r="96">
      <c r="A96" s="8" t="n">
        <v>623211</v>
      </c>
      <c r="B96" s="8" t="inlineStr">
        <is>
          <t>7899706126335</t>
        </is>
      </c>
      <c r="C96" s="8" t="inlineStr">
        <is>
          <t>DERMO EXP AGUA MICELAR 200ML</t>
        </is>
      </c>
      <c r="D96" s="9" t="n">
        <v>1</v>
      </c>
      <c r="E96" s="9" t="n">
        <v>1</v>
      </c>
      <c r="F96" s="9" t="n">
        <v>1</v>
      </c>
      <c r="G96" s="10" t="n">
        <v>21.97</v>
      </c>
      <c r="H96" s="10" t="n">
        <v>18.7783</v>
      </c>
      <c r="I96" s="10" t="n">
        <v>20.36</v>
      </c>
      <c r="J96" s="10" t="n"/>
      <c r="K96" s="10" t="n"/>
      <c r="L96" s="10" t="n">
        <v>21.6125</v>
      </c>
      <c r="M96" s="8" t="inlineStr">
        <is>
          <t>EPAN</t>
        </is>
      </c>
      <c r="N96" s="10" t="n">
        <v>20.36</v>
      </c>
      <c r="O96" s="11">
        <f>N96/G96-1</f>
        <v/>
      </c>
      <c r="P96" s="12" t="inlineStr">
        <is>
          <t>OK (≤ últ. compra)</t>
        </is>
      </c>
      <c r="Q96" s="8" t="inlineStr"/>
    </row>
    <row r="97">
      <c r="A97" s="8" t="n">
        <v>553521</v>
      </c>
      <c r="B97" s="8" t="inlineStr">
        <is>
          <t>7898087340040</t>
        </is>
      </c>
      <c r="C97" s="8" t="inlineStr">
        <is>
          <t>DERSANI ORIGINAL LOC OLEOSA 100ML</t>
        </is>
      </c>
      <c r="D97" s="9" t="n">
        <v>1</v>
      </c>
      <c r="E97" s="9" t="n">
        <v>1</v>
      </c>
      <c r="F97" s="9" t="n">
        <v>1</v>
      </c>
      <c r="G97" s="10" t="n">
        <v>41.44</v>
      </c>
      <c r="H97" s="10" t="n">
        <v>32.02</v>
      </c>
      <c r="I97" s="10" t="n"/>
      <c r="J97" s="10" t="n"/>
      <c r="K97" s="10" t="n"/>
      <c r="L97" s="10" t="n">
        <v>49.03</v>
      </c>
      <c r="M97" s="8" t="inlineStr">
        <is>
          <t>NAZARIA</t>
        </is>
      </c>
      <c r="N97" s="10" t="n">
        <v>49.03</v>
      </c>
      <c r="O97" s="11">
        <f>N97/G97-1</f>
        <v/>
      </c>
      <c r="P97" s="13" t="inlineStr">
        <is>
          <t>ACIMA +18.3% (vs últ. compra)</t>
        </is>
      </c>
      <c r="Q97" s="8" t="inlineStr"/>
    </row>
    <row r="98">
      <c r="A98" s="8" t="n">
        <v>359561</v>
      </c>
      <c r="B98" s="8" t="inlineStr">
        <is>
          <t>7891106006132</t>
        </is>
      </c>
      <c r="C98" s="8" t="inlineStr">
        <is>
          <t>DESCONTINUADO - PROTOVIT PLUS SOL ORAL FR GTS 20ML</t>
        </is>
      </c>
      <c r="D98" s="9" t="n">
        <v>1</v>
      </c>
      <c r="E98" s="9" t="n">
        <v>2</v>
      </c>
      <c r="F98" s="9" t="n">
        <v>2</v>
      </c>
      <c r="G98" s="10" t="n">
        <v>12.844375</v>
      </c>
      <c r="H98" s="10" t="n">
        <v>12.844375</v>
      </c>
      <c r="I98" s="10" t="n"/>
      <c r="J98" s="10" t="n"/>
      <c r="K98" s="10" t="n"/>
      <c r="L98" s="10" t="n"/>
      <c r="M98" s="8" t="inlineStr">
        <is>
          <t>SEM COTAÇÃO</t>
        </is>
      </c>
      <c r="N98" s="10" t="n"/>
      <c r="O98" s="11" t="n"/>
      <c r="P98" s="8" t="inlineStr"/>
      <c r="Q98" s="8" t="inlineStr"/>
    </row>
    <row r="99">
      <c r="A99" s="8" t="n">
        <v>41803</v>
      </c>
      <c r="B99" s="8" t="inlineStr">
        <is>
          <t>07891721024481</t>
        </is>
      </c>
      <c r="C99" s="8" t="inlineStr">
        <is>
          <t>DEXA-CITONEURIN NFF C/3APX1ML (PGO)</t>
        </is>
      </c>
      <c r="D99" s="9" t="n">
        <v>1</v>
      </c>
      <c r="E99" s="9" t="n">
        <v>3</v>
      </c>
      <c r="F99" s="9" t="n">
        <v>3</v>
      </c>
      <c r="G99" s="10" t="n">
        <v>37.23</v>
      </c>
      <c r="H99" s="10" t="n">
        <v>33.1125</v>
      </c>
      <c r="I99" s="10" t="n"/>
      <c r="J99" s="10" t="n"/>
      <c r="K99" s="10" t="n">
        <v>38.07</v>
      </c>
      <c r="L99" s="10" t="n">
        <v>38.0604</v>
      </c>
      <c r="M99" s="8" t="inlineStr">
        <is>
          <t>NAZARIA</t>
        </is>
      </c>
      <c r="N99" s="10" t="n">
        <v>38.0604</v>
      </c>
      <c r="O99" s="11">
        <f>N99/G99-1</f>
        <v/>
      </c>
      <c r="P99" s="13" t="inlineStr">
        <is>
          <t>ACIMA +2.2% (vs últ. compra)</t>
        </is>
      </c>
      <c r="Q99" s="8" t="inlineStr"/>
    </row>
    <row r="100">
      <c r="A100" s="8" t="n">
        <v>578141</v>
      </c>
      <c r="B100" s="8" t="inlineStr">
        <is>
          <t>7899824400942</t>
        </is>
      </c>
      <c r="C100" s="8" t="inlineStr">
        <is>
          <t>DEXADOR 5000MCG/ML SOL INJ 3AMP X 2ML+3AMP X 1ML</t>
        </is>
      </c>
      <c r="D100" s="9" t="n">
        <v>1</v>
      </c>
      <c r="E100" s="9" t="n">
        <v>1</v>
      </c>
      <c r="F100" s="9" t="n">
        <v>1</v>
      </c>
      <c r="G100" s="10" t="n">
        <v>37.6</v>
      </c>
      <c r="H100" s="10" t="n">
        <v>33.77</v>
      </c>
      <c r="I100" s="10" t="n">
        <v>37.6</v>
      </c>
      <c r="J100" s="10" t="n"/>
      <c r="K100" s="10" t="n"/>
      <c r="L100" s="10" t="n">
        <v>37.3635</v>
      </c>
      <c r="M100" s="8" t="inlineStr">
        <is>
          <t>NAZARIA</t>
        </is>
      </c>
      <c r="N100" s="10" t="n">
        <v>37.3635</v>
      </c>
      <c r="O100" s="11">
        <f>N100/G100-1</f>
        <v/>
      </c>
      <c r="P100" s="12" t="inlineStr">
        <is>
          <t>OK (≤ últ. compra)</t>
        </is>
      </c>
      <c r="Q100" s="8" t="inlineStr"/>
    </row>
    <row r="101">
      <c r="A101" s="8" t="n">
        <v>207821</v>
      </c>
      <c r="B101" s="8" t="inlineStr">
        <is>
          <t>7896641809026</t>
        </is>
      </c>
      <c r="C101" s="8" t="inlineStr">
        <is>
          <t>DEXILANT 60MG CX 30 CAP LIB RETARD</t>
        </is>
      </c>
      <c r="D101" s="9" t="n">
        <v>1</v>
      </c>
      <c r="E101" s="9" t="n">
        <v>6</v>
      </c>
      <c r="F101" s="9" t="n">
        <v>6</v>
      </c>
      <c r="G101" s="10" t="n">
        <v>89.116</v>
      </c>
      <c r="H101" s="10" t="n">
        <v>89.116</v>
      </c>
      <c r="I101" s="10" t="n"/>
      <c r="J101" s="10" t="n"/>
      <c r="K101" s="10" t="n"/>
      <c r="L101" s="10" t="n">
        <v>101.65</v>
      </c>
      <c r="M101" s="8" t="inlineStr">
        <is>
          <t>NAZARIA</t>
        </is>
      </c>
      <c r="N101" s="10" t="n">
        <v>101.65</v>
      </c>
      <c r="O101" s="11">
        <f>N101/G101-1</f>
        <v/>
      </c>
      <c r="P101" s="13" t="inlineStr">
        <is>
          <t>ACIMA +14.1% (vs últ. compra)</t>
        </is>
      </c>
      <c r="Q101" s="8" t="inlineStr"/>
    </row>
    <row r="102">
      <c r="A102" s="8" t="n">
        <v>539561</v>
      </c>
      <c r="B102" s="8" t="inlineStr">
        <is>
          <t>7891106913966</t>
        </is>
      </c>
      <c r="C102" s="8" t="inlineStr">
        <is>
          <t>DIANE 35 2+0,035MG CX 21 DRG</t>
        </is>
      </c>
      <c r="D102" s="9" t="n">
        <v>1</v>
      </c>
      <c r="E102" s="9" t="n">
        <v>3</v>
      </c>
      <c r="F102" s="9" t="n">
        <v>3</v>
      </c>
      <c r="G102" s="10" t="n">
        <v>32.08</v>
      </c>
      <c r="H102" s="10" t="n">
        <v>27.875</v>
      </c>
      <c r="I102" s="10" t="n">
        <v>32.08</v>
      </c>
      <c r="J102" s="10" t="n"/>
      <c r="K102" s="10" t="n"/>
      <c r="L102" s="10" t="n">
        <v>32.49</v>
      </c>
      <c r="M102" s="8" t="inlineStr">
        <is>
          <t>EPAN</t>
        </is>
      </c>
      <c r="N102" s="10" t="n">
        <v>32.08</v>
      </c>
      <c r="O102" s="11">
        <f>N102/G102-1</f>
        <v/>
      </c>
      <c r="P102" s="12" t="inlineStr">
        <is>
          <t>OK (≤ últ. compra)</t>
        </is>
      </c>
      <c r="Q102" s="8" t="inlineStr"/>
    </row>
    <row r="103">
      <c r="A103" s="8" t="n">
        <v>4621</v>
      </c>
      <c r="B103" s="8" t="inlineStr">
        <is>
          <t>7891721010026</t>
        </is>
      </c>
      <c r="C103" s="8" t="inlineStr">
        <is>
          <t>DICLIN 2+0,035MG CX 21 COMP REV</t>
        </is>
      </c>
      <c r="D103" s="9" t="n">
        <v>1</v>
      </c>
      <c r="E103" s="9" t="n">
        <v>4</v>
      </c>
      <c r="F103" s="9" t="n">
        <v>4</v>
      </c>
      <c r="G103" s="10" t="n">
        <v>18.035</v>
      </c>
      <c r="H103" s="10" t="n">
        <v>16.73</v>
      </c>
      <c r="I103" s="10" t="n"/>
      <c r="J103" s="10" t="n">
        <v>18.7</v>
      </c>
      <c r="K103" s="10" t="n">
        <v>18.12</v>
      </c>
      <c r="L103" s="10" t="n">
        <v>18.1232</v>
      </c>
      <c r="M103" s="8" t="inlineStr">
        <is>
          <t>TAPAJOS</t>
        </is>
      </c>
      <c r="N103" s="10" t="n">
        <v>18.12</v>
      </c>
      <c r="O103" s="11">
        <f>N103/G103-1</f>
        <v/>
      </c>
      <c r="P103" s="13" t="inlineStr">
        <is>
          <t>ACIMA +0.5% (vs últ. compra)</t>
        </is>
      </c>
      <c r="Q103" s="8" t="inlineStr"/>
    </row>
    <row r="104">
      <c r="A104" s="8" t="n">
        <v>124261</v>
      </c>
      <c r="B104" s="8" t="inlineStr">
        <is>
          <t>7891317010065</t>
        </is>
      </c>
      <c r="C104" s="8" t="inlineStr">
        <is>
          <t>DIUPRESS 25+5MG CX 30 COMP</t>
        </is>
      </c>
      <c r="D104" s="9" t="n">
        <v>1</v>
      </c>
      <c r="E104" s="9" t="n">
        <v>1</v>
      </c>
      <c r="F104" s="9" t="n">
        <v>1</v>
      </c>
      <c r="G104" s="10" t="n">
        <v>32.61</v>
      </c>
      <c r="H104" s="10" t="n">
        <v>31.18</v>
      </c>
      <c r="I104" s="10" t="n"/>
      <c r="J104" s="10" t="n"/>
      <c r="K104" s="10" t="n"/>
      <c r="L104" s="10" t="n">
        <v>33.3024</v>
      </c>
      <c r="M104" s="8" t="inlineStr">
        <is>
          <t>NAZARIA</t>
        </is>
      </c>
      <c r="N104" s="10" t="n">
        <v>33.3024</v>
      </c>
      <c r="O104" s="11">
        <f>N104/G104-1</f>
        <v/>
      </c>
      <c r="P104" s="13" t="inlineStr">
        <is>
          <t>ACIMA +2.1% (vs últ. compra)</t>
        </is>
      </c>
      <c r="Q104" s="8" t="inlineStr"/>
    </row>
    <row r="105">
      <c r="A105" s="8" t="n">
        <v>134841</v>
      </c>
      <c r="B105" s="8" t="inlineStr">
        <is>
          <t>7898040322441</t>
        </is>
      </c>
      <c r="C105" s="8" t="inlineStr">
        <is>
          <t>DOLAMIN FLEX 125+5,0MG CX 12 COMP REV</t>
        </is>
      </c>
      <c r="D105" s="9" t="n">
        <v>1</v>
      </c>
      <c r="E105" s="9" t="n">
        <v>1</v>
      </c>
      <c r="F105" s="9" t="n">
        <v>1</v>
      </c>
      <c r="G105" s="10" t="n">
        <v>41.03</v>
      </c>
      <c r="H105" s="10" t="n">
        <v>26.9</v>
      </c>
      <c r="I105" s="10" t="n">
        <v>41.03</v>
      </c>
      <c r="J105" s="10" t="n">
        <v>40.7</v>
      </c>
      <c r="K105" s="10" t="n">
        <v>40.16</v>
      </c>
      <c r="L105" s="10" t="n">
        <v>39.9</v>
      </c>
      <c r="M105" s="8" t="inlineStr">
        <is>
          <t>NAZARIA</t>
        </is>
      </c>
      <c r="N105" s="10" t="n">
        <v>39.9</v>
      </c>
      <c r="O105" s="11">
        <f>N105/G105-1</f>
        <v/>
      </c>
      <c r="P105" s="12" t="inlineStr">
        <is>
          <t>OK (≤ últ. compra)</t>
        </is>
      </c>
      <c r="Q105" s="8" t="inlineStr"/>
    </row>
    <row r="106">
      <c r="A106" s="8" t="n">
        <v>663061</v>
      </c>
      <c r="B106" s="8" t="inlineStr">
        <is>
          <t>7891150096486</t>
        </is>
      </c>
      <c r="C106" s="8" t="inlineStr">
        <is>
          <t>DOVE GEL LIMP FACIAL PL OLEOS E ACNEIC 150ML   UNIL %DN:17.00</t>
        </is>
      </c>
      <c r="D106" s="9" t="n">
        <v>1</v>
      </c>
      <c r="E106" s="9" t="n">
        <v>2</v>
      </c>
      <c r="F106" s="9" t="n">
        <v>2</v>
      </c>
      <c r="G106" s="10" t="n">
        <v>24.2358333333333</v>
      </c>
      <c r="H106" s="10" t="n">
        <v>24.2358</v>
      </c>
      <c r="I106" s="10" t="n"/>
      <c r="J106" s="10" t="n"/>
      <c r="K106" s="10" t="n"/>
      <c r="L106" s="10" t="n"/>
      <c r="M106" s="8" t="inlineStr">
        <is>
          <t>SEM COTAÇÃO</t>
        </is>
      </c>
      <c r="N106" s="10" t="n"/>
      <c r="O106" s="11" t="n"/>
      <c r="P106" s="8" t="inlineStr"/>
      <c r="Q106" s="8" t="inlineStr"/>
    </row>
    <row r="107">
      <c r="A107" s="8" t="n">
        <v>663071</v>
      </c>
      <c r="B107" s="8" t="inlineStr">
        <is>
          <t>7891150096509</t>
        </is>
      </c>
      <c r="C107" s="8" t="inlineStr">
        <is>
          <t>DOVE GEL LIMP FACIAL PL SENS E OLEOS 150ML   UNIL %DN:17.00</t>
        </is>
      </c>
      <c r="D107" s="9" t="n">
        <v>1</v>
      </c>
      <c r="E107" s="9" t="n">
        <v>5</v>
      </c>
      <c r="F107" s="9" t="n">
        <v>5</v>
      </c>
      <c r="G107" s="10" t="n">
        <v>24.2358333333333</v>
      </c>
      <c r="H107" s="10" t="n">
        <v>24.2358</v>
      </c>
      <c r="I107" s="10" t="n"/>
      <c r="J107" s="10" t="n"/>
      <c r="K107" s="10" t="n"/>
      <c r="L107" s="10" t="n"/>
      <c r="M107" s="8" t="inlineStr">
        <is>
          <t>SEM COTAÇÃO</t>
        </is>
      </c>
      <c r="N107" s="10" t="n"/>
      <c r="O107" s="11" t="n"/>
      <c r="P107" s="8" t="inlineStr"/>
      <c r="Q107" s="8" t="inlineStr"/>
    </row>
    <row r="108">
      <c r="A108" s="8" t="n">
        <v>645091</v>
      </c>
      <c r="B108" s="8" t="inlineStr">
        <is>
          <t>7891150095847</t>
        </is>
      </c>
      <c r="C108" s="8" t="inlineStr">
        <is>
          <t>DOVE SER CORP PRO PANTENOL 180ML   UNIL %DN:7.00</t>
        </is>
      </c>
      <c r="D108" s="9" t="n">
        <v>1</v>
      </c>
      <c r="E108" s="9" t="n">
        <v>2</v>
      </c>
      <c r="F108" s="9" t="n">
        <v>2</v>
      </c>
      <c r="G108" s="10" t="n">
        <v>22.39</v>
      </c>
      <c r="H108" s="10" t="n">
        <v>22.39</v>
      </c>
      <c r="I108" s="10" t="n">
        <v>0</v>
      </c>
      <c r="J108" s="10" t="n"/>
      <c r="K108" s="10" t="n"/>
      <c r="L108" s="10" t="n">
        <v>21.87</v>
      </c>
      <c r="M108" s="8" t="inlineStr">
        <is>
          <t>SEM COTAÇÃO</t>
        </is>
      </c>
      <c r="N108" s="10" t="n"/>
      <c r="O108" s="11" t="n"/>
      <c r="P108" s="8" t="inlineStr"/>
      <c r="Q108" s="8" t="inlineStr">
        <is>
          <t>sem estoque na Nazária; sem estoque no ePan</t>
        </is>
      </c>
    </row>
    <row r="109">
      <c r="A109" s="8" t="n">
        <v>666711</v>
      </c>
      <c r="B109" s="8" t="inlineStr">
        <is>
          <t>7891317042202</t>
        </is>
      </c>
      <c r="C109" s="8" t="inlineStr">
        <is>
          <t>DOZI 1000MCG C/30 COMP SUB-OUTROS</t>
        </is>
      </c>
      <c r="D109" s="9" t="n">
        <v>1</v>
      </c>
      <c r="E109" s="9" t="n">
        <v>1</v>
      </c>
      <c r="F109" s="9" t="n">
        <v>1</v>
      </c>
      <c r="G109" s="10" t="n">
        <v>44.048</v>
      </c>
      <c r="H109" s="10" t="n">
        <v>44.048</v>
      </c>
      <c r="I109" s="10" t="n">
        <v>22.99</v>
      </c>
      <c r="J109" s="10" t="n"/>
      <c r="K109" s="10" t="n"/>
      <c r="L109" s="10" t="n"/>
      <c r="M109" s="8" t="inlineStr">
        <is>
          <t>SEM COTAÇÃO</t>
        </is>
      </c>
      <c r="N109" s="10" t="n"/>
      <c r="O109" s="11" t="n"/>
      <c r="P109" s="8" t="inlineStr"/>
      <c r="Q109" s="8" t="inlineStr">
        <is>
          <t>sem estoque no ePan</t>
        </is>
      </c>
    </row>
    <row r="110">
      <c r="A110" s="8" t="n">
        <v>669071</v>
      </c>
      <c r="B110" s="8" t="inlineStr"/>
      <c r="C110" s="8" t="inlineStr">
        <is>
          <t>DRAMIN CAPS GEL (CARTELADO) PV</t>
        </is>
      </c>
      <c r="D110" s="9" t="n">
        <v>1</v>
      </c>
      <c r="E110" s="9" t="n">
        <v>1</v>
      </c>
      <c r="F110" s="9" t="n">
        <v>1</v>
      </c>
      <c r="G110" s="10" t="n"/>
      <c r="H110" s="10" t="n"/>
      <c r="I110" s="10" t="n"/>
      <c r="J110" s="10" t="n"/>
      <c r="K110" s="10" t="n"/>
      <c r="L110" s="10" t="n"/>
      <c r="M110" s="8" t="inlineStr">
        <is>
          <t>SEM COTAÇÃO</t>
        </is>
      </c>
      <c r="N110" s="10" t="n"/>
      <c r="O110" s="11" t="n"/>
      <c r="P110" s="8" t="inlineStr"/>
      <c r="Q110" s="8" t="inlineStr"/>
    </row>
    <row r="111">
      <c r="A111" s="8" t="n">
        <v>655311</v>
      </c>
      <c r="B111" s="8" t="inlineStr">
        <is>
          <t>7891317027179</t>
        </is>
      </c>
      <c r="C111" s="8" t="inlineStr">
        <is>
          <t>DUALGI 200MG+500MG 12CPR</t>
        </is>
      </c>
      <c r="D111" s="9" t="n">
        <v>1</v>
      </c>
      <c r="E111" s="9" t="n">
        <v>2</v>
      </c>
      <c r="F111" s="9" t="n">
        <v>2</v>
      </c>
      <c r="G111" s="10" t="n">
        <v>26.68</v>
      </c>
      <c r="H111" s="10" t="n">
        <v>23.93</v>
      </c>
      <c r="I111" s="10" t="n">
        <v>26.68</v>
      </c>
      <c r="J111" s="10" t="n"/>
      <c r="K111" s="10" t="n"/>
      <c r="L111" s="10" t="n">
        <v>26.496</v>
      </c>
      <c r="M111" s="8" t="inlineStr">
        <is>
          <t>SEM COTAÇÃO</t>
        </is>
      </c>
      <c r="N111" s="10" t="n"/>
      <c r="O111" s="11" t="n"/>
      <c r="P111" s="8" t="inlineStr"/>
      <c r="Q111" s="8" t="inlineStr">
        <is>
          <t>sem estoque na Nazária; sem estoque no ePan</t>
        </is>
      </c>
    </row>
    <row r="112">
      <c r="A112" s="8" t="n">
        <v>254421</v>
      </c>
      <c r="B112" s="8" t="inlineStr">
        <is>
          <t>7896676410198</t>
        </is>
      </c>
      <c r="C112" s="8" t="inlineStr">
        <is>
          <t>DUOFLAM 6,43+2,63MG CX 1AMPX1ML+SER</t>
        </is>
      </c>
      <c r="D112" s="9" t="n">
        <v>1</v>
      </c>
      <c r="E112" s="9" t="n">
        <v>1</v>
      </c>
      <c r="F112" s="9" t="n">
        <v>1</v>
      </c>
      <c r="G112" s="10" t="n">
        <v>23.475</v>
      </c>
      <c r="H112" s="10" t="n">
        <v>21.985</v>
      </c>
      <c r="I112" s="10" t="n"/>
      <c r="J112" s="10" t="n">
        <v>24.9</v>
      </c>
      <c r="K112" s="10" t="n">
        <v>24.13</v>
      </c>
      <c r="L112" s="10" t="n">
        <v>24.6432</v>
      </c>
      <c r="M112" s="8" t="inlineStr">
        <is>
          <t>TAPAJOS</t>
        </is>
      </c>
      <c r="N112" s="10" t="n">
        <v>24.13</v>
      </c>
      <c r="O112" s="11">
        <f>N112/G112-1</f>
        <v/>
      </c>
      <c r="P112" s="13" t="inlineStr">
        <is>
          <t>ACIMA +2.8% (vs últ. compra)</t>
        </is>
      </c>
      <c r="Q112" s="8" t="inlineStr"/>
    </row>
    <row r="113">
      <c r="A113" s="8" t="n">
        <v>309701</v>
      </c>
      <c r="B113" s="8" t="inlineStr">
        <is>
          <t>7896255767149</t>
        </is>
      </c>
      <c r="C113" s="8" t="inlineStr">
        <is>
          <t>DUPHALAC 667MG/ML XPE FR X 200ML</t>
        </is>
      </c>
      <c r="D113" s="9" t="n">
        <v>1</v>
      </c>
      <c r="E113" s="9" t="n">
        <v>1</v>
      </c>
      <c r="F113" s="9" t="n">
        <v>1</v>
      </c>
      <c r="G113" s="10" t="n">
        <v>45.815</v>
      </c>
      <c r="H113" s="10" t="n">
        <v>42.55</v>
      </c>
      <c r="I113" s="10" t="n">
        <v>45.81</v>
      </c>
      <c r="J113" s="10" t="n">
        <v>47.6</v>
      </c>
      <c r="K113" s="10" t="n">
        <v>46.14</v>
      </c>
      <c r="L113" s="10" t="n">
        <v>47.1168</v>
      </c>
      <c r="M113" s="8" t="inlineStr">
        <is>
          <t>EPAN</t>
        </is>
      </c>
      <c r="N113" s="10" t="n">
        <v>45.81</v>
      </c>
      <c r="O113" s="11">
        <f>N113/G113-1</f>
        <v/>
      </c>
      <c r="P113" s="12" t="inlineStr">
        <is>
          <t>OK (≤ últ. compra)</t>
        </is>
      </c>
      <c r="Q113" s="8" t="inlineStr"/>
    </row>
    <row r="114">
      <c r="A114" s="8" t="n">
        <v>230701</v>
      </c>
      <c r="B114" s="8" t="inlineStr">
        <is>
          <t>7892953003558</t>
        </is>
      </c>
      <c r="C114" s="8" t="inlineStr">
        <is>
          <t>DUTAM 0,5+0,4MG CX 30 CAP LIB PROL</t>
        </is>
      </c>
      <c r="D114" s="9" t="n">
        <v>1</v>
      </c>
      <c r="E114" s="9" t="n">
        <v>14</v>
      </c>
      <c r="F114" s="9" t="n">
        <v>14</v>
      </c>
      <c r="G114" s="10" t="n">
        <v>80.73</v>
      </c>
      <c r="H114" s="10" t="n">
        <v>76.9175</v>
      </c>
      <c r="I114" s="10" t="n"/>
      <c r="J114" s="10" t="n">
        <v>93</v>
      </c>
      <c r="K114" s="10" t="n"/>
      <c r="L114" s="10" t="n">
        <v>87.27809999999999</v>
      </c>
      <c r="M114" s="8" t="inlineStr">
        <is>
          <t>NAZARIA</t>
        </is>
      </c>
      <c r="N114" s="10" t="n">
        <v>87.27809999999999</v>
      </c>
      <c r="O114" s="11">
        <f>N114/G114-1</f>
        <v/>
      </c>
      <c r="P114" s="13" t="inlineStr">
        <is>
          <t>ACIMA +8.1% (vs últ. compra)</t>
        </is>
      </c>
      <c r="Q114" s="8" t="inlineStr"/>
    </row>
    <row r="115">
      <c r="A115" s="8" t="n">
        <v>230841</v>
      </c>
      <c r="B115" s="8" t="inlineStr">
        <is>
          <t>7891317005351</t>
        </is>
      </c>
      <c r="C115" s="8" t="inlineStr">
        <is>
          <t>EBASTEL 10MG CX 10 COMP</t>
        </is>
      </c>
      <c r="D115" s="9" t="n">
        <v>1</v>
      </c>
      <c r="E115" s="9" t="n">
        <v>3</v>
      </c>
      <c r="F115" s="9" t="n">
        <v>3</v>
      </c>
      <c r="G115" s="10" t="n">
        <v>54.022</v>
      </c>
      <c r="H115" s="10" t="n">
        <v>54.022</v>
      </c>
      <c r="I115" s="10" t="n"/>
      <c r="J115" s="10" t="n"/>
      <c r="K115" s="10" t="n"/>
      <c r="L115" s="10" t="n">
        <v>59.184</v>
      </c>
      <c r="M115" s="8" t="inlineStr">
        <is>
          <t>NAZARIA</t>
        </is>
      </c>
      <c r="N115" s="10" t="n">
        <v>59.184</v>
      </c>
      <c r="O115" s="11">
        <f>N115/G115-1</f>
        <v/>
      </c>
      <c r="P115" s="13" t="inlineStr">
        <is>
          <t>ACIMA +9.6% (vs últ. compra)</t>
        </is>
      </c>
      <c r="Q115" s="8" t="inlineStr"/>
    </row>
    <row r="116">
      <c r="A116" s="8" t="n">
        <v>83081</v>
      </c>
      <c r="B116" s="8" t="inlineStr">
        <is>
          <t>7896676433050</t>
        </is>
      </c>
      <c r="C116" s="8" t="inlineStr">
        <is>
          <t>ECOFILM 5MG SOL OFT FR GTS 5ML</t>
        </is>
      </c>
      <c r="D116" s="9" t="n">
        <v>1</v>
      </c>
      <c r="E116" s="9" t="n">
        <v>4</v>
      </c>
      <c r="F116" s="9" t="n">
        <v>4</v>
      </c>
      <c r="G116" s="10" t="n">
        <v>15.94</v>
      </c>
      <c r="H116" s="10" t="n">
        <v>14.765</v>
      </c>
      <c r="I116" s="10" t="n">
        <v>16.74</v>
      </c>
      <c r="J116" s="10" t="n"/>
      <c r="K116" s="10" t="n">
        <v>15.94</v>
      </c>
      <c r="L116" s="10" t="n">
        <v>16.37605</v>
      </c>
      <c r="M116" s="8" t="inlineStr">
        <is>
          <t>TAPAJOS</t>
        </is>
      </c>
      <c r="N116" s="10" t="n">
        <v>15.94</v>
      </c>
      <c r="O116" s="11">
        <f>N116/G116-1</f>
        <v/>
      </c>
      <c r="P116" s="12" t="inlineStr">
        <is>
          <t>OK (≤ últ. compra)</t>
        </is>
      </c>
      <c r="Q116" s="8" t="inlineStr"/>
    </row>
    <row r="117">
      <c r="A117" s="8" t="n">
        <v>393461</v>
      </c>
      <c r="B117" s="8" t="inlineStr">
        <is>
          <t>7896023701436</t>
        </is>
      </c>
      <c r="C117" s="8" t="inlineStr">
        <is>
          <t>ELIXIR PAREGORICO 0,05ML/ML SOL OR FR GOT 30ML</t>
        </is>
      </c>
      <c r="D117" s="9" t="n">
        <v>1</v>
      </c>
      <c r="E117" s="9" t="n">
        <v>5</v>
      </c>
      <c r="F117" s="9" t="n">
        <v>5</v>
      </c>
      <c r="G117" s="10" t="n">
        <v>10.65</v>
      </c>
      <c r="H117" s="10" t="n">
        <v>10.2633</v>
      </c>
      <c r="I117" s="10" t="n"/>
      <c r="J117" s="10" t="n"/>
      <c r="K117" s="10" t="n"/>
      <c r="L117" s="10" t="n">
        <v>21.37</v>
      </c>
      <c r="M117" s="8" t="inlineStr">
        <is>
          <t>NAZARIA</t>
        </is>
      </c>
      <c r="N117" s="10" t="n">
        <v>21.37</v>
      </c>
      <c r="O117" s="11">
        <f>N117/G117-1</f>
        <v/>
      </c>
      <c r="P117" s="13" t="inlineStr">
        <is>
          <t>ACIMA +100.7% (vs últ. compra)</t>
        </is>
      </c>
      <c r="Q117" s="8" t="inlineStr"/>
    </row>
    <row r="118">
      <c r="A118" s="8" t="n">
        <v>600341</v>
      </c>
      <c r="B118" s="8" t="inlineStr">
        <is>
          <t>7891024033425</t>
        </is>
      </c>
      <c r="C118" s="8" t="inlineStr">
        <is>
          <t>ENX BUC COLGATE PERIOG EXTRA MINT 250ML</t>
        </is>
      </c>
      <c r="D118" s="9" t="n">
        <v>1</v>
      </c>
      <c r="E118" s="9" t="n">
        <v>1</v>
      </c>
      <c r="F118" s="9" t="n">
        <v>1</v>
      </c>
      <c r="G118" s="10" t="n">
        <v>23.76</v>
      </c>
      <c r="H118" s="10" t="n">
        <v>22.47</v>
      </c>
      <c r="I118" s="10" t="n"/>
      <c r="J118" s="10" t="n"/>
      <c r="K118" s="10" t="n"/>
      <c r="L118" s="10" t="n">
        <v>26.4</v>
      </c>
      <c r="M118" s="8" t="inlineStr">
        <is>
          <t>NAZARIA</t>
        </is>
      </c>
      <c r="N118" s="10" t="n">
        <v>26.4</v>
      </c>
      <c r="O118" s="11">
        <f>N118/G118-1</f>
        <v/>
      </c>
      <c r="P118" s="13" t="inlineStr">
        <is>
          <t>ACIMA +11.1% (vs últ. compra)</t>
        </is>
      </c>
      <c r="Q118" s="8" t="inlineStr"/>
    </row>
    <row r="119">
      <c r="A119" s="8" t="n">
        <v>599151</v>
      </c>
      <c r="B119" s="8" t="inlineStr">
        <is>
          <t>7898040327910</t>
        </is>
      </c>
      <c r="C119" s="8" t="inlineStr">
        <is>
          <t>ENZILAC 4500UI CX 30  COMP</t>
        </is>
      </c>
      <c r="D119" s="9" t="n">
        <v>1</v>
      </c>
      <c r="E119" s="9" t="n">
        <v>1</v>
      </c>
      <c r="F119" s="9" t="n">
        <v>1</v>
      </c>
      <c r="G119" s="10" t="n">
        <v>23.42</v>
      </c>
      <c r="H119" s="10" t="n">
        <v>23.42</v>
      </c>
      <c r="I119" s="10" t="n"/>
      <c r="J119" s="10" t="n">
        <v>27.3</v>
      </c>
      <c r="K119" s="10" t="n"/>
      <c r="L119" s="10" t="n">
        <v>25.98</v>
      </c>
      <c r="M119" s="8" t="inlineStr">
        <is>
          <t>NAZARIA</t>
        </is>
      </c>
      <c r="N119" s="10" t="n">
        <v>25.98</v>
      </c>
      <c r="O119" s="11">
        <f>N119/G119-1</f>
        <v/>
      </c>
      <c r="P119" s="13" t="inlineStr">
        <is>
          <t>ACIMA +10.9% (vs últ. compra)</t>
        </is>
      </c>
      <c r="Q119" s="8" t="inlineStr"/>
    </row>
    <row r="120">
      <c r="A120" s="8" t="n">
        <v>15</v>
      </c>
      <c r="B120" s="8" t="inlineStr">
        <is>
          <t>7896094903272</t>
        </is>
      </c>
      <c r="C120" s="8" t="inlineStr">
        <is>
          <t>EPOCLER SOL ORAL FLACONETE CAIXA C/ 12</t>
        </is>
      </c>
      <c r="D120" s="9" t="n">
        <v>1</v>
      </c>
      <c r="E120" s="9" t="n">
        <v>100</v>
      </c>
      <c r="F120" s="9" t="n">
        <v>100</v>
      </c>
      <c r="G120" s="10" t="n"/>
      <c r="H120" s="10" t="n"/>
      <c r="I120" s="10" t="n"/>
      <c r="J120" s="10" t="n"/>
      <c r="K120" s="10" t="n">
        <v>35.68</v>
      </c>
      <c r="L120" s="10" t="n">
        <v>37.72</v>
      </c>
      <c r="M120" s="8" t="inlineStr">
        <is>
          <t>TAPAJOS</t>
        </is>
      </c>
      <c r="N120" s="10" t="n">
        <v>35.68</v>
      </c>
      <c r="O120" s="11" t="n"/>
      <c r="P120" s="8" t="inlineStr">
        <is>
          <t>SEM HISTÓRICO</t>
        </is>
      </c>
      <c r="Q120" s="8" t="inlineStr"/>
    </row>
    <row r="121">
      <c r="A121" s="8" t="n">
        <v>235621</v>
      </c>
      <c r="B121" s="8" t="inlineStr">
        <is>
          <t>7894916510202</t>
        </is>
      </c>
      <c r="C121" s="8" t="inlineStr">
        <is>
          <t>ESOGASTRO IBP KIT 14ESO 14CLA 28AMOX+28ESO-S</t>
        </is>
      </c>
      <c r="D121" s="9" t="n">
        <v>1</v>
      </c>
      <c r="E121" s="9" t="n">
        <v>1</v>
      </c>
      <c r="F121" s="9" t="n">
        <v>1</v>
      </c>
      <c r="G121" s="10" t="n">
        <v>272.59</v>
      </c>
      <c r="H121" s="10" t="n">
        <v>242.54</v>
      </c>
      <c r="I121" s="10" t="n"/>
      <c r="J121" s="10" t="n">
        <v>270.7</v>
      </c>
      <c r="K121" s="10" t="n"/>
      <c r="L121" s="10" t="n">
        <v>267.888</v>
      </c>
      <c r="M121" s="8" t="inlineStr">
        <is>
          <t>NAZARIA</t>
        </is>
      </c>
      <c r="N121" s="10" t="n">
        <v>267.888</v>
      </c>
      <c r="O121" s="11">
        <f>N121/G121-1</f>
        <v/>
      </c>
      <c r="P121" s="12" t="inlineStr">
        <is>
          <t>OK (≤ últ. compra)</t>
        </is>
      </c>
      <c r="Q121" s="8" t="inlineStr"/>
    </row>
    <row r="122">
      <c r="A122" s="8" t="n">
        <v>658021</v>
      </c>
      <c r="B122" s="8" t="inlineStr">
        <is>
          <t>4005900995520</t>
        </is>
      </c>
      <c r="C122" s="8" t="inlineStr">
        <is>
          <t>EUCERIN HYDRO FLUID SUN FPS60 50ML</t>
        </is>
      </c>
      <c r="D122" s="9" t="n">
        <v>1</v>
      </c>
      <c r="E122" s="9" t="n">
        <v>1</v>
      </c>
      <c r="F122" s="9" t="n">
        <v>1</v>
      </c>
      <c r="G122" s="10" t="n">
        <v>75.47</v>
      </c>
      <c r="H122" s="10" t="n">
        <v>75.47</v>
      </c>
      <c r="I122" s="10" t="n"/>
      <c r="J122" s="10" t="n"/>
      <c r="K122" s="10" t="n"/>
      <c r="L122" s="10" t="n">
        <v>75.47</v>
      </c>
      <c r="M122" s="8" t="inlineStr">
        <is>
          <t>SEM COTAÇÃO</t>
        </is>
      </c>
      <c r="N122" s="10" t="n"/>
      <c r="O122" s="11" t="n"/>
      <c r="P122" s="8" t="inlineStr"/>
      <c r="Q122" s="8" t="inlineStr">
        <is>
          <t>sem estoque na Nazária</t>
        </is>
      </c>
    </row>
    <row r="123">
      <c r="A123" s="8" t="n">
        <v>646991</v>
      </c>
      <c r="B123" s="8" t="inlineStr">
        <is>
          <t>7500435185011</t>
        </is>
      </c>
      <c r="C123" s="8" t="inlineStr">
        <is>
          <t>FEMIBION 1 C/28 COMP-DEMAIS PROD</t>
        </is>
      </c>
      <c r="D123" s="9" t="n">
        <v>1</v>
      </c>
      <c r="E123" s="9" t="n">
        <v>1</v>
      </c>
      <c r="F123" s="9" t="n">
        <v>1</v>
      </c>
      <c r="G123" s="10" t="n">
        <v>69.4516666666667</v>
      </c>
      <c r="H123" s="10" t="n">
        <v>69.4516666666667</v>
      </c>
      <c r="I123" s="10" t="n"/>
      <c r="J123" s="10" t="n">
        <v>92.5</v>
      </c>
      <c r="K123" s="10" t="n"/>
      <c r="L123" s="10" t="n">
        <v>94.0424</v>
      </c>
      <c r="M123" s="8" t="inlineStr">
        <is>
          <t>SB LOG</t>
        </is>
      </c>
      <c r="N123" s="10" t="n">
        <v>92.5</v>
      </c>
      <c r="O123" s="11">
        <f>N123/G123-1</f>
        <v/>
      </c>
      <c r="P123" s="13" t="inlineStr">
        <is>
          <t>ACIMA +33.2% (vs últ. compra)</t>
        </is>
      </c>
      <c r="Q123" s="8" t="inlineStr"/>
    </row>
    <row r="124">
      <c r="A124" s="8" t="n">
        <v>641971</v>
      </c>
      <c r="B124" s="8" t="inlineStr">
        <is>
          <t>7500435185035</t>
        </is>
      </c>
      <c r="C124" s="8" t="inlineStr">
        <is>
          <t>FEMIBION 3 C/28 COMP-DEMAIS PROD</t>
        </is>
      </c>
      <c r="D124" s="9" t="n">
        <v>1</v>
      </c>
      <c r="E124" s="9" t="n">
        <v>4</v>
      </c>
      <c r="F124" s="9" t="n">
        <v>4</v>
      </c>
      <c r="G124" s="10" t="n">
        <v>127.566666666667</v>
      </c>
      <c r="H124" s="10" t="n">
        <v>101.32</v>
      </c>
      <c r="I124" s="10" t="n"/>
      <c r="J124" s="10" t="n"/>
      <c r="K124" s="10" t="n"/>
      <c r="L124" s="10" t="n">
        <v>125.5156</v>
      </c>
      <c r="M124" s="8" t="inlineStr">
        <is>
          <t>NAZARIA</t>
        </is>
      </c>
      <c r="N124" s="10" t="n">
        <v>125.5156</v>
      </c>
      <c r="O124" s="11">
        <f>N124/G124-1</f>
        <v/>
      </c>
      <c r="P124" s="12" t="inlineStr">
        <is>
          <t>OK (≤ últ. compra)</t>
        </is>
      </c>
      <c r="Q124" s="8" t="inlineStr"/>
    </row>
    <row r="125">
      <c r="A125" s="8" t="n">
        <v>430141</v>
      </c>
      <c r="B125" s="8" t="inlineStr">
        <is>
          <t>7896014673124</t>
        </is>
      </c>
      <c r="C125" s="8" t="inlineStr">
        <is>
          <t>FERROPURUM 20 MG/ML SOL INJ 5 AMP 5ML</t>
        </is>
      </c>
      <c r="D125" s="9" t="n">
        <v>1</v>
      </c>
      <c r="E125" s="9" t="n">
        <v>4</v>
      </c>
      <c r="F125" s="9" t="n">
        <v>4</v>
      </c>
      <c r="G125" s="10" t="n">
        <v>69.76000000000001</v>
      </c>
      <c r="H125" s="10" t="n">
        <v>51.6738</v>
      </c>
      <c r="I125" s="10" t="n"/>
      <c r="J125" s="10" t="n"/>
      <c r="K125" s="10" t="n"/>
      <c r="L125" s="10" t="n">
        <v>68.77</v>
      </c>
      <c r="M125" s="8" t="inlineStr">
        <is>
          <t>NAZARIA</t>
        </is>
      </c>
      <c r="N125" s="10" t="n">
        <v>68.77</v>
      </c>
      <c r="O125" s="11">
        <f>N125/G125-1</f>
        <v/>
      </c>
      <c r="P125" s="12" t="inlineStr">
        <is>
          <t>OK (≤ últ. compra)</t>
        </is>
      </c>
      <c r="Q125" s="8" t="inlineStr"/>
    </row>
    <row r="126">
      <c r="A126" s="8" t="n">
        <v>626071</v>
      </c>
      <c r="B126" s="8" t="inlineStr">
        <is>
          <t>7896023756849</t>
        </is>
      </c>
      <c r="C126" s="8" t="inlineStr">
        <is>
          <t>FIGATIL 10ML FLACONETE</t>
        </is>
      </c>
      <c r="D126" s="9" t="n">
        <v>48</v>
      </c>
      <c r="E126" s="9" t="n">
        <v>1</v>
      </c>
      <c r="F126" s="9" t="n">
        <v>48</v>
      </c>
      <c r="G126" s="10" t="n">
        <v>2.42229166666667</v>
      </c>
      <c r="H126" s="10" t="n">
        <v>1.1388</v>
      </c>
      <c r="I126" s="10" t="n"/>
      <c r="J126" s="10" t="n"/>
      <c r="K126" s="10" t="n"/>
      <c r="L126" s="10" t="n"/>
      <c r="M126" s="8" t="inlineStr">
        <is>
          <t>SEM COTAÇÃO</t>
        </is>
      </c>
      <c r="N126" s="10" t="n"/>
      <c r="O126" s="11" t="n"/>
      <c r="P126" s="8" t="inlineStr"/>
      <c r="Q126" s="8" t="inlineStr"/>
    </row>
    <row r="127">
      <c r="A127" s="8" t="n">
        <v>355201</v>
      </c>
      <c r="B127" s="8" t="inlineStr">
        <is>
          <t>7891106908313</t>
        </is>
      </c>
      <c r="C127" s="8" t="inlineStr">
        <is>
          <t>FLANAX 550 MG COM 2CP(CARTELA)</t>
        </is>
      </c>
      <c r="D127" s="9" t="n">
        <v>1</v>
      </c>
      <c r="E127" s="9" t="n">
        <v>6</v>
      </c>
      <c r="F127" s="9" t="n">
        <v>6</v>
      </c>
      <c r="G127" s="10" t="n">
        <v>4.42</v>
      </c>
      <c r="H127" s="10" t="n">
        <v>4.42</v>
      </c>
      <c r="I127" s="10" t="n"/>
      <c r="J127" s="10" t="n"/>
      <c r="K127" s="10" t="n">
        <v>56.02</v>
      </c>
      <c r="L127" s="10" t="n"/>
      <c r="M127" s="8" t="inlineStr">
        <is>
          <t>TAPAJOS</t>
        </is>
      </c>
      <c r="N127" s="10" t="n">
        <v>56.02</v>
      </c>
      <c r="O127" s="11">
        <f>N127/G127-1</f>
        <v/>
      </c>
      <c r="P127" s="13" t="inlineStr">
        <is>
          <t>ACIMA +1167.4% (vs últ. compra)</t>
        </is>
      </c>
      <c r="Q127" s="8" t="inlineStr"/>
    </row>
    <row r="128">
      <c r="A128" s="8" t="n">
        <v>355241</v>
      </c>
      <c r="B128" s="8" t="inlineStr">
        <is>
          <t>7891106006507</t>
        </is>
      </c>
      <c r="C128" s="8" t="inlineStr">
        <is>
          <t>FLANAX 550MG CX 10 COMP REV</t>
        </is>
      </c>
      <c r="D128" s="9" t="n">
        <v>1</v>
      </c>
      <c r="E128" s="9" t="n">
        <v>3</v>
      </c>
      <c r="F128" s="9" t="n">
        <v>3</v>
      </c>
      <c r="G128" s="10" t="n">
        <v>20.57</v>
      </c>
      <c r="H128" s="10" t="n">
        <v>14.66</v>
      </c>
      <c r="I128" s="10" t="n"/>
      <c r="J128" s="10" t="n">
        <v>18.4</v>
      </c>
      <c r="K128" s="10" t="n">
        <v>20.57</v>
      </c>
      <c r="L128" s="10" t="n">
        <v>21.87</v>
      </c>
      <c r="M128" s="8" t="inlineStr">
        <is>
          <t>SB LOG</t>
        </is>
      </c>
      <c r="N128" s="10" t="n">
        <v>18.4</v>
      </c>
      <c r="O128" s="11">
        <f>N128/G128-1</f>
        <v/>
      </c>
      <c r="P128" s="12" t="inlineStr">
        <is>
          <t>OK (≤ últ. compra)</t>
        </is>
      </c>
      <c r="Q128" s="8" t="inlineStr"/>
    </row>
    <row r="129">
      <c r="A129" s="8" t="n">
        <v>240601</v>
      </c>
      <c r="B129" s="8" t="inlineStr">
        <is>
          <t>7896637023344</t>
        </is>
      </c>
      <c r="C129" s="8" t="inlineStr">
        <is>
          <t>FLANCOX 400MG CX 10 COMP REV</t>
        </is>
      </c>
      <c r="D129" s="9" t="n">
        <v>1</v>
      </c>
      <c r="E129" s="9" t="n">
        <v>2</v>
      </c>
      <c r="F129" s="9" t="n">
        <v>2</v>
      </c>
      <c r="G129" s="10" t="n">
        <v>21.8385714285714</v>
      </c>
      <c r="H129" s="10" t="n">
        <v>20.78</v>
      </c>
      <c r="I129" s="10" t="n">
        <v>21.83</v>
      </c>
      <c r="J129" s="10" t="n">
        <v>23.2</v>
      </c>
      <c r="K129" s="10" t="n">
        <v>22.45</v>
      </c>
      <c r="L129" s="10" t="n">
        <v>23.89</v>
      </c>
      <c r="M129" s="8" t="inlineStr">
        <is>
          <t>EPAN</t>
        </is>
      </c>
      <c r="N129" s="10" t="n">
        <v>21.83</v>
      </c>
      <c r="O129" s="11">
        <f>N129/G129-1</f>
        <v/>
      </c>
      <c r="P129" s="12" t="inlineStr">
        <is>
          <t>OK (≤ últ. compra)</t>
        </is>
      </c>
      <c r="Q129" s="8" t="inlineStr"/>
    </row>
    <row r="130">
      <c r="A130" s="8" t="n">
        <v>240241</v>
      </c>
      <c r="B130" s="8" t="inlineStr">
        <is>
          <t>7896637023238</t>
        </is>
      </c>
      <c r="C130" s="8" t="inlineStr">
        <is>
          <t>FLANCOX 500MG CX 14 COMP REV</t>
        </is>
      </c>
      <c r="D130" s="9" t="n">
        <v>1</v>
      </c>
      <c r="E130" s="9" t="n">
        <v>6</v>
      </c>
      <c r="F130" s="9" t="n">
        <v>6</v>
      </c>
      <c r="G130" s="10" t="n">
        <v>27.925</v>
      </c>
      <c r="H130" s="10" t="n">
        <v>25.425</v>
      </c>
      <c r="I130" s="10" t="n">
        <v>27.92</v>
      </c>
      <c r="J130" s="10" t="n">
        <v>38.9</v>
      </c>
      <c r="K130" s="10" t="n">
        <v>37.7</v>
      </c>
      <c r="L130" s="10" t="n">
        <v>40.11</v>
      </c>
      <c r="M130" s="8" t="inlineStr">
        <is>
          <t>EPAN</t>
        </is>
      </c>
      <c r="N130" s="10" t="n">
        <v>27.92</v>
      </c>
      <c r="O130" s="11">
        <f>N130/G130-1</f>
        <v/>
      </c>
      <c r="P130" s="12" t="inlineStr">
        <is>
          <t>OK (≤ últ. compra)</t>
        </is>
      </c>
      <c r="Q130" s="8" t="inlineStr"/>
    </row>
    <row r="131">
      <c r="A131" s="8" t="n">
        <v>582241</v>
      </c>
      <c r="B131" s="8" t="inlineStr">
        <is>
          <t>7896637031943</t>
        </is>
      </c>
      <c r="C131" s="8" t="inlineStr">
        <is>
          <t>FLANCOX 600MG CX 14 REV OR</t>
        </is>
      </c>
      <c r="D131" s="9" t="n">
        <v>1</v>
      </c>
      <c r="E131" s="9" t="n">
        <v>13</v>
      </c>
      <c r="F131" s="9" t="n">
        <v>13</v>
      </c>
      <c r="G131" s="10" t="n">
        <v>47.24</v>
      </c>
      <c r="H131" s="10" t="n">
        <v>43.5075</v>
      </c>
      <c r="I131" s="10" t="n"/>
      <c r="J131" s="10" t="n">
        <v>48.7</v>
      </c>
      <c r="K131" s="10" t="n">
        <v>47.24</v>
      </c>
      <c r="L131" s="10" t="n">
        <v>50.23</v>
      </c>
      <c r="M131" s="8" t="inlineStr">
        <is>
          <t>TAPAJOS</t>
        </is>
      </c>
      <c r="N131" s="10" t="n">
        <v>47.24</v>
      </c>
      <c r="O131" s="11">
        <f>N131/G131-1</f>
        <v/>
      </c>
      <c r="P131" s="12" t="inlineStr">
        <is>
          <t>OK (≤ últ. compra)</t>
        </is>
      </c>
      <c r="Q131" s="8" t="inlineStr"/>
    </row>
    <row r="132">
      <c r="A132" s="8" t="n">
        <v>566701</v>
      </c>
      <c r="B132" s="8" t="inlineStr">
        <is>
          <t>7898040324438</t>
        </is>
      </c>
      <c r="C132" s="8" t="inlineStr">
        <is>
          <t>FLETOP LOCAO 200ML</t>
        </is>
      </c>
      <c r="D132" s="9" t="n">
        <v>1</v>
      </c>
      <c r="E132" s="9" t="n">
        <v>2</v>
      </c>
      <c r="F132" s="9" t="n">
        <v>2</v>
      </c>
      <c r="G132" s="10" t="n">
        <v>57.135</v>
      </c>
      <c r="H132" s="10" t="n">
        <v>41.344</v>
      </c>
      <c r="I132" s="10" t="n">
        <v>49.13</v>
      </c>
      <c r="J132" s="10" t="n"/>
      <c r="K132" s="10" t="n"/>
      <c r="L132" s="10" t="n">
        <v>57.133</v>
      </c>
      <c r="M132" s="8" t="inlineStr">
        <is>
          <t>NAZARIA</t>
        </is>
      </c>
      <c r="N132" s="10" t="n">
        <v>57.133</v>
      </c>
      <c r="O132" s="11">
        <f>N132/G132-1</f>
        <v/>
      </c>
      <c r="P132" s="12" t="inlineStr">
        <is>
          <t>OK (≤ últ. compra)</t>
        </is>
      </c>
      <c r="Q132" s="8" t="inlineStr">
        <is>
          <t>sem estoque no ePan</t>
        </is>
      </c>
    </row>
    <row r="133">
      <c r="A133" s="8" t="n">
        <v>652451</v>
      </c>
      <c r="B133" s="8" t="inlineStr"/>
      <c r="C133" s="8" t="inlineStr">
        <is>
          <t>FLOGORAL CARTELA 4 PAST SB LARANJA</t>
        </is>
      </c>
      <c r="D133" s="9" t="n">
        <v>3</v>
      </c>
      <c r="E133" s="9" t="n">
        <v>3</v>
      </c>
      <c r="F133" s="9" t="n">
        <v>9</v>
      </c>
      <c r="G133" s="10" t="n"/>
      <c r="H133" s="10" t="n"/>
      <c r="I133" s="10" t="n"/>
      <c r="J133" s="10" t="n"/>
      <c r="K133" s="10" t="n"/>
      <c r="L133" s="10" t="n"/>
      <c r="M133" s="8" t="inlineStr">
        <is>
          <t>SEM COTAÇÃO</t>
        </is>
      </c>
      <c r="N133" s="10" t="n"/>
      <c r="O133" s="11" t="n"/>
      <c r="P133" s="8" t="inlineStr"/>
      <c r="Q133" s="8" t="inlineStr"/>
    </row>
    <row r="134">
      <c r="A134" s="8" t="n">
        <v>589581</v>
      </c>
      <c r="B134" s="8" t="inlineStr">
        <is>
          <t>7898040329655</t>
        </is>
      </c>
      <c r="C134" s="8" t="inlineStr">
        <is>
          <t>FLORATIL 200MG CX 6 CAP</t>
        </is>
      </c>
      <c r="D134" s="9" t="n">
        <v>1</v>
      </c>
      <c r="E134" s="9" t="n">
        <v>5</v>
      </c>
      <c r="F134" s="9" t="n">
        <v>5</v>
      </c>
      <c r="G134" s="10" t="n">
        <v>37.185</v>
      </c>
      <c r="H134" s="10" t="n">
        <v>27.3967</v>
      </c>
      <c r="I134" s="10" t="n"/>
      <c r="J134" s="10" t="n"/>
      <c r="K134" s="10" t="n">
        <v>36.79</v>
      </c>
      <c r="L134" s="10" t="n">
        <v>39.14</v>
      </c>
      <c r="M134" s="8" t="inlineStr">
        <is>
          <t>TAPAJOS</t>
        </is>
      </c>
      <c r="N134" s="10" t="n">
        <v>36.79</v>
      </c>
      <c r="O134" s="11">
        <f>N134/G134-1</f>
        <v/>
      </c>
      <c r="P134" s="12" t="inlineStr">
        <is>
          <t>OK (≤ últ. compra)</t>
        </is>
      </c>
      <c r="Q134" s="8" t="inlineStr"/>
    </row>
    <row r="135">
      <c r="A135" s="8" t="n">
        <v>589611</v>
      </c>
      <c r="B135" s="8" t="inlineStr">
        <is>
          <t>7898040329570</t>
        </is>
      </c>
      <c r="C135" s="8" t="inlineStr">
        <is>
          <t>FLORATIL 200MG/G PO OR 4 ENV X 1G</t>
        </is>
      </c>
      <c r="D135" s="9" t="n">
        <v>1</v>
      </c>
      <c r="E135" s="9" t="n">
        <v>2</v>
      </c>
      <c r="F135" s="9" t="n">
        <v>2</v>
      </c>
      <c r="G135" s="10" t="n">
        <v>28</v>
      </c>
      <c r="H135" s="10" t="n">
        <v>7.05</v>
      </c>
      <c r="I135" s="10" t="n">
        <v>28</v>
      </c>
      <c r="J135" s="10" t="n">
        <v>29.1</v>
      </c>
      <c r="K135" s="10" t="n">
        <v>28.2</v>
      </c>
      <c r="L135" s="10" t="n">
        <v>30</v>
      </c>
      <c r="M135" s="8" t="inlineStr">
        <is>
          <t>EPAN</t>
        </is>
      </c>
      <c r="N135" s="10" t="n">
        <v>28</v>
      </c>
      <c r="O135" s="11">
        <f>N135/G135-1</f>
        <v/>
      </c>
      <c r="P135" s="12" t="inlineStr">
        <is>
          <t>OK (≤ últ. compra)</t>
        </is>
      </c>
      <c r="Q135" s="8" t="inlineStr"/>
    </row>
    <row r="136">
      <c r="A136" s="8" t="n">
        <v>622951</v>
      </c>
      <c r="B136" s="8" t="inlineStr">
        <is>
          <t>7898040329679</t>
        </is>
      </c>
      <c r="C136" s="8" t="inlineStr">
        <is>
          <t>FLORATIL 250MG BL 6 CAP</t>
        </is>
      </c>
      <c r="D136" s="9" t="n">
        <v>1</v>
      </c>
      <c r="E136" s="9" t="n">
        <v>3</v>
      </c>
      <c r="F136" s="9" t="n">
        <v>3</v>
      </c>
      <c r="G136" s="10" t="n">
        <v>38.6416666666667</v>
      </c>
      <c r="H136" s="10" t="n">
        <v>31.31</v>
      </c>
      <c r="I136" s="10" t="n">
        <v>36.53</v>
      </c>
      <c r="J136" s="10" t="n">
        <v>38</v>
      </c>
      <c r="K136" s="10" t="n"/>
      <c r="L136" s="10" t="n">
        <v>39.14</v>
      </c>
      <c r="M136" s="8" t="inlineStr">
        <is>
          <t>EPAN</t>
        </is>
      </c>
      <c r="N136" s="10" t="n">
        <v>36.53</v>
      </c>
      <c r="O136" s="11">
        <f>N136/G136-1</f>
        <v/>
      </c>
      <c r="P136" s="12" t="inlineStr">
        <is>
          <t>OK (≤ últ. compra)</t>
        </is>
      </c>
      <c r="Q136" s="8" t="inlineStr"/>
    </row>
    <row r="137">
      <c r="A137" s="8" t="n">
        <v>5981</v>
      </c>
      <c r="B137" s="8" t="inlineStr">
        <is>
          <t>7896676432916</t>
        </is>
      </c>
      <c r="C137" s="8" t="inlineStr">
        <is>
          <t>FLUTINOL 1MG/ML SUS OFT FR 5ML</t>
        </is>
      </c>
      <c r="D137" s="9" t="n">
        <v>1</v>
      </c>
      <c r="E137" s="9" t="n">
        <v>2</v>
      </c>
      <c r="F137" s="9" t="n">
        <v>2</v>
      </c>
      <c r="G137" s="10" t="n">
        <v>34</v>
      </c>
      <c r="H137" s="10" t="n">
        <v>26.33</v>
      </c>
      <c r="I137" s="10" t="n">
        <v>34</v>
      </c>
      <c r="J137" s="10" t="n"/>
      <c r="K137" s="10" t="n">
        <v>32.37</v>
      </c>
      <c r="L137" s="10" t="n">
        <v>33.2346</v>
      </c>
      <c r="M137" s="8" t="inlineStr">
        <is>
          <t>TAPAJOS</t>
        </is>
      </c>
      <c r="N137" s="10" t="n">
        <v>32.37</v>
      </c>
      <c r="O137" s="11">
        <f>N137/G137-1</f>
        <v/>
      </c>
      <c r="P137" s="12" t="inlineStr">
        <is>
          <t>OK (≤ últ. compra)</t>
        </is>
      </c>
      <c r="Q137" s="8" t="inlineStr"/>
    </row>
    <row r="138">
      <c r="A138" s="8" t="n">
        <v>636341</v>
      </c>
      <c r="B138" s="8" t="inlineStr">
        <is>
          <t>7891317023331</t>
        </is>
      </c>
      <c r="C138" s="8" t="inlineStr">
        <is>
          <t>FORFIG 200MG CX 20 CAP</t>
        </is>
      </c>
      <c r="D138" s="9" t="n">
        <v>1</v>
      </c>
      <c r="E138" s="9" t="n">
        <v>1</v>
      </c>
      <c r="F138" s="9" t="n">
        <v>1</v>
      </c>
      <c r="G138" s="10" t="n">
        <v>115.42</v>
      </c>
      <c r="H138" s="10" t="n">
        <v>102.85</v>
      </c>
      <c r="I138" s="10" t="n"/>
      <c r="J138" s="10" t="n">
        <v>115.8</v>
      </c>
      <c r="K138" s="10" t="n">
        <v>112.26</v>
      </c>
      <c r="L138" s="10" t="n">
        <v>114.6528</v>
      </c>
      <c r="M138" s="8" t="inlineStr">
        <is>
          <t>TAPAJOS</t>
        </is>
      </c>
      <c r="N138" s="10" t="n">
        <v>112.26</v>
      </c>
      <c r="O138" s="11">
        <f>N138/G138-1</f>
        <v/>
      </c>
      <c r="P138" s="12" t="inlineStr">
        <is>
          <t>OK (≤ últ. compra)</t>
        </is>
      </c>
      <c r="Q138" s="8" t="inlineStr"/>
    </row>
    <row r="139">
      <c r="A139" s="8" t="n">
        <v>638781</v>
      </c>
      <c r="B139" s="8" t="inlineStr">
        <is>
          <t>040141785435</t>
        </is>
      </c>
      <c r="C139" s="8" t="inlineStr">
        <is>
          <t>FORTMAGRI 1500MG 60 CPS (BERBERINA+FENO+MOROSIL+CROMO)</t>
        </is>
      </c>
      <c r="D139" s="9" t="n">
        <v>1</v>
      </c>
      <c r="E139" s="9" t="n">
        <v>1</v>
      </c>
      <c r="F139" s="9" t="n">
        <v>1</v>
      </c>
      <c r="G139" s="10" t="n">
        <v>79.90000000000001</v>
      </c>
      <c r="H139" s="10" t="n">
        <v>79.90000000000001</v>
      </c>
      <c r="I139" s="10" t="n"/>
      <c r="J139" s="10" t="n"/>
      <c r="K139" s="10" t="n"/>
      <c r="L139" s="10" t="n"/>
      <c r="M139" s="8" t="inlineStr">
        <is>
          <t>SEM COTAÇÃO</t>
        </is>
      </c>
      <c r="N139" s="10" t="n"/>
      <c r="O139" s="11" t="n"/>
      <c r="P139" s="8" t="inlineStr"/>
      <c r="Q139" s="8" t="inlineStr"/>
    </row>
    <row r="140">
      <c r="A140" s="8" t="n">
        <v>622611</v>
      </c>
      <c r="B140" s="8" t="inlineStr">
        <is>
          <t>5000456070423</t>
        </is>
      </c>
      <c r="C140" s="8" t="inlineStr">
        <is>
          <t>FORXIGA 10MG CX 30 COMP</t>
        </is>
      </c>
      <c r="D140" s="9" t="n">
        <v>1</v>
      </c>
      <c r="E140" s="9" t="n">
        <v>2</v>
      </c>
      <c r="F140" s="9" t="n">
        <v>2</v>
      </c>
      <c r="G140" s="10" t="n">
        <v>164.855</v>
      </c>
      <c r="H140" s="10" t="n">
        <v>164.855</v>
      </c>
      <c r="I140" s="10" t="n"/>
      <c r="J140" s="10" t="n"/>
      <c r="K140" s="10" t="n"/>
      <c r="L140" s="10" t="n"/>
      <c r="M140" s="8" t="inlineStr">
        <is>
          <t>SEM COTAÇÃO</t>
        </is>
      </c>
      <c r="N140" s="10" t="n"/>
      <c r="O140" s="11" t="n"/>
      <c r="P140" s="8" t="inlineStr"/>
      <c r="Q140" s="8" t="inlineStr"/>
    </row>
    <row r="141">
      <c r="A141" s="8" t="n">
        <v>670571</v>
      </c>
      <c r="B141" s="8" t="inlineStr">
        <is>
          <t>7898216368037</t>
        </is>
      </c>
      <c r="C141" s="8" t="inlineStr">
        <is>
          <t>GARDENAL 100MG C/20 COMP (C1)-REFERENCIA</t>
        </is>
      </c>
      <c r="D141" s="9" t="n">
        <v>1</v>
      </c>
      <c r="E141" s="9" t="n">
        <v>1</v>
      </c>
      <c r="F141" s="9" t="n">
        <v>1</v>
      </c>
      <c r="G141" s="10" t="n">
        <v>9.409444444444439</v>
      </c>
      <c r="H141" s="10" t="n">
        <v>9.4094</v>
      </c>
      <c r="I141" s="10" t="n"/>
      <c r="J141" s="10" t="n"/>
      <c r="K141" s="10" t="n"/>
      <c r="L141" s="10" t="n">
        <v>9.468</v>
      </c>
      <c r="M141" s="8" t="inlineStr">
        <is>
          <t>NAZARIA</t>
        </is>
      </c>
      <c r="N141" s="10" t="n">
        <v>9.468</v>
      </c>
      <c r="O141" s="11">
        <f>N141/G141-1</f>
        <v/>
      </c>
      <c r="P141" s="13" t="inlineStr">
        <is>
          <t>ACIMA +0.6% (vs últ. compra)</t>
        </is>
      </c>
      <c r="Q141" s="8" t="inlineStr"/>
    </row>
    <row r="142">
      <c r="A142" s="8" t="n">
        <v>635741</v>
      </c>
      <c r="B142" s="8" t="inlineStr">
        <is>
          <t>7891106916059</t>
        </is>
      </c>
      <c r="C142" s="8" t="inlineStr">
        <is>
          <t>GINO CANESTEN 1 500MG 1COMP+APL-REFERENCIA</t>
        </is>
      </c>
      <c r="D142" s="9" t="n">
        <v>1</v>
      </c>
      <c r="E142" s="9" t="n">
        <v>3</v>
      </c>
      <c r="F142" s="9" t="n">
        <v>3</v>
      </c>
      <c r="G142" s="10" t="n">
        <v>80.51000000000001</v>
      </c>
      <c r="H142" s="10" t="n">
        <v>68.87</v>
      </c>
      <c r="I142" s="10" t="n">
        <v>72.45</v>
      </c>
      <c r="J142" s="10" t="n">
        <v>80.5</v>
      </c>
      <c r="K142" s="10" t="n">
        <v>78.02</v>
      </c>
      <c r="L142" s="10" t="n">
        <v>77.19</v>
      </c>
      <c r="M142" s="8" t="inlineStr">
        <is>
          <t>EPAN</t>
        </is>
      </c>
      <c r="N142" s="10" t="n">
        <v>72.45</v>
      </c>
      <c r="O142" s="11">
        <f>N142/G142-1</f>
        <v/>
      </c>
      <c r="P142" s="12" t="inlineStr">
        <is>
          <t>OK (≤ últ. compra)</t>
        </is>
      </c>
      <c r="Q142" s="8" t="inlineStr"/>
    </row>
    <row r="143">
      <c r="A143" s="8" t="n">
        <v>189141</v>
      </c>
      <c r="B143" s="8" t="inlineStr">
        <is>
          <t>7891106003230</t>
        </is>
      </c>
      <c r="C143" s="8" t="inlineStr">
        <is>
          <t>GINO CANESTEN 20 MG/G CREME VAG BG 20G+3APLIC</t>
        </is>
      </c>
      <c r="D143" s="9" t="n">
        <v>1</v>
      </c>
      <c r="E143" s="9" t="n">
        <v>1</v>
      </c>
      <c r="F143" s="9" t="n">
        <v>1</v>
      </c>
      <c r="G143" s="10" t="n">
        <v>70.93000000000001</v>
      </c>
      <c r="H143" s="10" t="n">
        <v>65.23</v>
      </c>
      <c r="I143" s="10" t="n"/>
      <c r="J143" s="10" t="n">
        <v>73.2</v>
      </c>
      <c r="K143" s="10" t="n"/>
      <c r="L143" s="10" t="n">
        <v>75.45999999999999</v>
      </c>
      <c r="M143" s="8" t="inlineStr">
        <is>
          <t>SB LOG</t>
        </is>
      </c>
      <c r="N143" s="10" t="n">
        <v>73.2</v>
      </c>
      <c r="O143" s="11">
        <f>N143/G143-1</f>
        <v/>
      </c>
      <c r="P143" s="13" t="inlineStr">
        <is>
          <t>ACIMA +3.2% (vs últ. compra)</t>
        </is>
      </c>
      <c r="Q143" s="8" t="inlineStr"/>
    </row>
    <row r="144">
      <c r="A144" s="8" t="n">
        <v>672581</v>
      </c>
      <c r="B144" s="8" t="inlineStr">
        <is>
          <t>7891106916561</t>
        </is>
      </c>
      <c r="C144" s="8" t="inlineStr">
        <is>
          <t>GINO CANESTEN PURO CUIDADO 200ML-DEMAIS PROD</t>
        </is>
      </c>
      <c r="D144" s="9" t="n">
        <v>1</v>
      </c>
      <c r="E144" s="9" t="n">
        <v>8</v>
      </c>
      <c r="F144" s="9" t="n">
        <v>8</v>
      </c>
      <c r="G144" s="10" t="n">
        <v>18.34</v>
      </c>
      <c r="H144" s="10" t="n">
        <v>18.34</v>
      </c>
      <c r="I144" s="10" t="n">
        <v>0</v>
      </c>
      <c r="J144" s="10" t="n">
        <v>18.3</v>
      </c>
      <c r="K144" s="10" t="n"/>
      <c r="L144" s="10" t="n">
        <v>20.4507</v>
      </c>
      <c r="M144" s="8" t="inlineStr">
        <is>
          <t>SB LOG</t>
        </is>
      </c>
      <c r="N144" s="10" t="n">
        <v>18.3</v>
      </c>
      <c r="O144" s="11">
        <f>N144/G144-1</f>
        <v/>
      </c>
      <c r="P144" s="12" t="inlineStr">
        <is>
          <t>OK (≤ menor hist.)</t>
        </is>
      </c>
      <c r="Q144" s="8" t="inlineStr">
        <is>
          <t>sem estoque no ePan</t>
        </is>
      </c>
    </row>
    <row r="145">
      <c r="A145" s="8" t="n">
        <v>533121</v>
      </c>
      <c r="B145" s="8" t="inlineStr">
        <is>
          <t>7891721201806</t>
        </is>
      </c>
      <c r="C145" s="8" t="inlineStr">
        <is>
          <t>GLIFAGE XR 500MG CX 30 COMP</t>
        </is>
      </c>
      <c r="D145" s="9" t="n">
        <v>1</v>
      </c>
      <c r="E145" s="9" t="n">
        <v>140</v>
      </c>
      <c r="F145" s="9" t="n">
        <v>140</v>
      </c>
      <c r="G145" s="10" t="n">
        <v>7.26258064516129</v>
      </c>
      <c r="H145" s="10" t="n">
        <v>6.4487</v>
      </c>
      <c r="I145" s="10" t="n">
        <v>7.42</v>
      </c>
      <c r="J145" s="10" t="n">
        <v>8.699999999999999</v>
      </c>
      <c r="K145" s="10" t="n">
        <v>7.62</v>
      </c>
      <c r="L145" s="10" t="n">
        <v>6.9888</v>
      </c>
      <c r="M145" s="8" t="inlineStr">
        <is>
          <t>NAZARIA</t>
        </is>
      </c>
      <c r="N145" s="10" t="n">
        <v>6.9888</v>
      </c>
      <c r="O145" s="11">
        <f>N145/G145-1</f>
        <v/>
      </c>
      <c r="P145" s="12" t="inlineStr">
        <is>
          <t>OK (≤ últ. compra)</t>
        </is>
      </c>
      <c r="Q145" s="8" t="inlineStr">
        <is>
          <t>sem estoque no ePan</t>
        </is>
      </c>
    </row>
    <row r="146">
      <c r="A146" s="8" t="n">
        <v>264141</v>
      </c>
      <c r="B146" s="8" t="inlineStr">
        <is>
          <t>7891721026621</t>
        </is>
      </c>
      <c r="C146" s="8" t="inlineStr">
        <is>
          <t>GLUCOVANCE 500+5MG CX 30 COMP REV</t>
        </is>
      </c>
      <c r="D146" s="9" t="n">
        <v>1</v>
      </c>
      <c r="E146" s="9" t="n">
        <v>3</v>
      </c>
      <c r="F146" s="9" t="n">
        <v>3</v>
      </c>
      <c r="G146" s="10" t="n">
        <v>42.8066666666667</v>
      </c>
      <c r="H146" s="10" t="n">
        <v>40.76</v>
      </c>
      <c r="I146" s="10" t="n">
        <v>42.8</v>
      </c>
      <c r="J146" s="10" t="n">
        <v>42.1</v>
      </c>
      <c r="K146" s="10" t="n">
        <v>40.76</v>
      </c>
      <c r="L146" s="10" t="n">
        <v>40.7584</v>
      </c>
      <c r="M146" s="8" t="inlineStr">
        <is>
          <t>NAZARIA</t>
        </is>
      </c>
      <c r="N146" s="10" t="n">
        <v>40.7584</v>
      </c>
      <c r="O146" s="11">
        <f>N146/G146-1</f>
        <v/>
      </c>
      <c r="P146" s="12" t="inlineStr">
        <is>
          <t>OK (≤ menor hist.)</t>
        </is>
      </c>
      <c r="Q146" s="8" t="inlineStr"/>
    </row>
    <row r="147">
      <c r="A147" s="8" t="n">
        <v>595291</v>
      </c>
      <c r="B147" s="8" t="inlineStr">
        <is>
          <t>7898495609289</t>
        </is>
      </c>
      <c r="C147" s="8" t="inlineStr">
        <is>
          <t>GROW CALCIO 150ML + SER DOS</t>
        </is>
      </c>
      <c r="D147" s="9" t="n">
        <v>1</v>
      </c>
      <c r="E147" s="9" t="n">
        <v>1</v>
      </c>
      <c r="F147" s="9" t="n">
        <v>1</v>
      </c>
      <c r="G147" s="10" t="n">
        <v>59.83</v>
      </c>
      <c r="H147" s="10" t="n">
        <v>59.83</v>
      </c>
      <c r="I147" s="10" t="n"/>
      <c r="J147" s="10" t="n"/>
      <c r="K147" s="10" t="n"/>
      <c r="L147" s="10" t="n"/>
      <c r="M147" s="8" t="inlineStr">
        <is>
          <t>SEM COTAÇÃO</t>
        </is>
      </c>
      <c r="N147" s="10" t="n"/>
      <c r="O147" s="11" t="n"/>
      <c r="P147" s="8" t="inlineStr"/>
      <c r="Q147" s="8" t="inlineStr"/>
    </row>
    <row r="148">
      <c r="A148" s="8" t="n">
        <v>627211</v>
      </c>
      <c r="B148" s="8" t="inlineStr">
        <is>
          <t>7908020501435</t>
        </is>
      </c>
      <c r="C148" s="8" t="inlineStr">
        <is>
          <t>GROW D 10ML-DEMAIS PROD</t>
        </is>
      </c>
      <c r="D148" s="9" t="n">
        <v>1</v>
      </c>
      <c r="E148" s="9" t="n">
        <v>1</v>
      </c>
      <c r="F148" s="9" t="n">
        <v>1</v>
      </c>
      <c r="G148" s="10" t="n">
        <v>39.47</v>
      </c>
      <c r="H148" s="10" t="n">
        <v>39.47</v>
      </c>
      <c r="I148" s="10" t="n"/>
      <c r="J148" s="10" t="n"/>
      <c r="K148" s="10" t="n"/>
      <c r="L148" s="10" t="n">
        <v>64.45999999999999</v>
      </c>
      <c r="M148" s="8" t="inlineStr">
        <is>
          <t>SEM COTAÇÃO</t>
        </is>
      </c>
      <c r="N148" s="10" t="n"/>
      <c r="O148" s="11" t="n"/>
      <c r="P148" s="8" t="inlineStr"/>
      <c r="Q148" s="8" t="inlineStr">
        <is>
          <t>sem estoque na Nazária</t>
        </is>
      </c>
    </row>
    <row r="149">
      <c r="A149" s="8" t="n">
        <v>559601</v>
      </c>
      <c r="B149" s="8" t="inlineStr">
        <is>
          <t>7898495609326</t>
        </is>
      </c>
      <c r="C149" s="8" t="inlineStr">
        <is>
          <t>GROW VIT BB C/20ML (CFE)</t>
        </is>
      </c>
      <c r="D149" s="9" t="n">
        <v>1</v>
      </c>
      <c r="E149" s="9" t="n">
        <v>1</v>
      </c>
      <c r="F149" s="9" t="n">
        <v>1</v>
      </c>
      <c r="G149" s="10" t="n">
        <v>37.1</v>
      </c>
      <c r="H149" s="10" t="n">
        <v>37.1</v>
      </c>
      <c r="I149" s="10" t="n"/>
      <c r="J149" s="10" t="n"/>
      <c r="K149" s="10" t="n"/>
      <c r="L149" s="10" t="n">
        <v>57.55</v>
      </c>
      <c r="M149" s="8" t="inlineStr">
        <is>
          <t>SEM COTAÇÃO</t>
        </is>
      </c>
      <c r="N149" s="10" t="n"/>
      <c r="O149" s="11" t="n"/>
      <c r="P149" s="8" t="inlineStr"/>
      <c r="Q149" s="8" t="inlineStr">
        <is>
          <t>sem estoque na Nazária</t>
        </is>
      </c>
    </row>
    <row r="150">
      <c r="A150" s="8" t="n">
        <v>554541</v>
      </c>
      <c r="B150" s="8" t="inlineStr">
        <is>
          <t>7908134200040</t>
        </is>
      </c>
      <c r="C150" s="8" t="inlineStr">
        <is>
          <t>GYNOTRAN 750+200MG OVULO 1 STRIP X 7+14 DEDEIRAS</t>
        </is>
      </c>
      <c r="D150" s="9" t="n">
        <v>1</v>
      </c>
      <c r="E150" s="9" t="n">
        <v>2</v>
      </c>
      <c r="F150" s="9" t="n">
        <v>2</v>
      </c>
      <c r="G150" s="10" t="n">
        <v>90.84</v>
      </c>
      <c r="H150" s="10" t="n">
        <v>84.2</v>
      </c>
      <c r="I150" s="10" t="n"/>
      <c r="J150" s="10" t="n"/>
      <c r="K150" s="10" t="n">
        <v>90.3</v>
      </c>
      <c r="L150" s="10" t="n">
        <v>96.06</v>
      </c>
      <c r="M150" s="8" t="inlineStr">
        <is>
          <t>TAPAJOS</t>
        </is>
      </c>
      <c r="N150" s="10" t="n">
        <v>90.3</v>
      </c>
      <c r="O150" s="11">
        <f>N150/G150-1</f>
        <v/>
      </c>
      <c r="P150" s="12" t="inlineStr">
        <is>
          <t>OK (≤ últ. compra)</t>
        </is>
      </c>
      <c r="Q150" s="8" t="inlineStr"/>
    </row>
    <row r="151">
      <c r="A151" s="8" t="n">
        <v>626321</v>
      </c>
      <c r="B151" s="8" t="inlineStr">
        <is>
          <t>7898040325008</t>
        </is>
      </c>
      <c r="C151" s="8" t="inlineStr">
        <is>
          <t>HIDRAFEMME GEL 24G C/ 8 APLIC</t>
        </is>
      </c>
      <c r="D151" s="9" t="n">
        <v>1</v>
      </c>
      <c r="E151" s="9" t="n">
        <v>2</v>
      </c>
      <c r="F151" s="9" t="n">
        <v>2</v>
      </c>
      <c r="G151" s="10" t="n">
        <v>69.84</v>
      </c>
      <c r="H151" s="10" t="n">
        <v>57.646</v>
      </c>
      <c r="I151" s="10" t="n"/>
      <c r="J151" s="10" t="n">
        <v>69.8</v>
      </c>
      <c r="K151" s="10" t="n"/>
      <c r="L151" s="10" t="n">
        <v>73.65350000000001</v>
      </c>
      <c r="M151" s="8" t="inlineStr">
        <is>
          <t>SB LOG</t>
        </is>
      </c>
      <c r="N151" s="10" t="n">
        <v>69.8</v>
      </c>
      <c r="O151" s="11">
        <f>N151/G151-1</f>
        <v/>
      </c>
      <c r="P151" s="12" t="inlineStr">
        <is>
          <t>OK (≤ últ. compra)</t>
        </is>
      </c>
      <c r="Q151" s="8" t="inlineStr"/>
    </row>
    <row r="152">
      <c r="A152" s="8" t="n">
        <v>619571</v>
      </c>
      <c r="B152" s="8" t="inlineStr">
        <is>
          <t>4005900163875</t>
        </is>
      </c>
      <c r="C152" s="8" t="inlineStr">
        <is>
          <t>HIDRAT NIVEA ANTIC PERNAS RENOV 400ML   NIVE %DN:2.00</t>
        </is>
      </c>
      <c r="D152" s="9" t="n">
        <v>1</v>
      </c>
      <c r="E152" s="9" t="n">
        <v>1</v>
      </c>
      <c r="F152" s="9" t="n">
        <v>1</v>
      </c>
      <c r="G152" s="10" t="n">
        <v>35.4725</v>
      </c>
      <c r="H152" s="10" t="n">
        <v>35.4725</v>
      </c>
      <c r="I152" s="10" t="n"/>
      <c r="J152" s="10" t="n"/>
      <c r="K152" s="10" t="n"/>
      <c r="L152" s="10" t="n"/>
      <c r="M152" s="8" t="inlineStr">
        <is>
          <t>SEM COTAÇÃO</t>
        </is>
      </c>
      <c r="N152" s="10" t="n"/>
      <c r="O152" s="11" t="n"/>
      <c r="P152" s="8" t="inlineStr"/>
      <c r="Q152" s="8" t="inlineStr"/>
    </row>
    <row r="153">
      <c r="A153" s="8" t="n">
        <v>639851</v>
      </c>
      <c r="B153" s="8" t="inlineStr">
        <is>
          <t>7899095200586</t>
        </is>
      </c>
      <c r="C153" s="8" t="inlineStr">
        <is>
          <t>HILUROPT 1,5MG/ML SOL OFT FR GOT X 10ML</t>
        </is>
      </c>
      <c r="D153" s="9" t="n">
        <v>1</v>
      </c>
      <c r="E153" s="9" t="n">
        <v>6</v>
      </c>
      <c r="F153" s="9" t="n">
        <v>6</v>
      </c>
      <c r="G153" s="10" t="n">
        <v>39.465</v>
      </c>
      <c r="H153" s="10" t="n">
        <v>33.63</v>
      </c>
      <c r="I153" s="10" t="n">
        <v>36.09</v>
      </c>
      <c r="J153" s="10" t="n">
        <v>38.4</v>
      </c>
      <c r="K153" s="10" t="n"/>
      <c r="L153" s="10" t="n">
        <v>39.55</v>
      </c>
      <c r="M153" s="8" t="inlineStr">
        <is>
          <t>EPAN</t>
        </is>
      </c>
      <c r="N153" s="10" t="n">
        <v>36.09</v>
      </c>
      <c r="O153" s="11">
        <f>N153/G153-1</f>
        <v/>
      </c>
      <c r="P153" s="12" t="inlineStr">
        <is>
          <t>OK (≤ últ. compra)</t>
        </is>
      </c>
      <c r="Q153" s="8" t="inlineStr"/>
    </row>
    <row r="154">
      <c r="A154" s="8" t="n">
        <v>554181</v>
      </c>
      <c r="B154" s="8" t="inlineStr">
        <is>
          <t>7891010249953</t>
        </is>
      </c>
      <c r="C154" s="8" t="inlineStr">
        <is>
          <t>HIPOGLOS AMENDOAS 40G</t>
        </is>
      </c>
      <c r="D154" s="9" t="n">
        <v>1</v>
      </c>
      <c r="E154" s="9" t="n">
        <v>1</v>
      </c>
      <c r="F154" s="9" t="n">
        <v>1</v>
      </c>
      <c r="G154" s="10" t="n">
        <v>22.94</v>
      </c>
      <c r="H154" s="10" t="n">
        <v>19.3367</v>
      </c>
      <c r="I154" s="10" t="n">
        <v>20.67</v>
      </c>
      <c r="J154" s="10" t="n">
        <v>23.3</v>
      </c>
      <c r="K154" s="10" t="n"/>
      <c r="L154" s="10" t="n">
        <v>23.87</v>
      </c>
      <c r="M154" s="8" t="inlineStr">
        <is>
          <t>EPAN</t>
        </is>
      </c>
      <c r="N154" s="10" t="n">
        <v>20.67</v>
      </c>
      <c r="O154" s="11">
        <f>N154/G154-1</f>
        <v/>
      </c>
      <c r="P154" s="12" t="inlineStr">
        <is>
          <t>OK (≤ últ. compra)</t>
        </is>
      </c>
      <c r="Q154" s="8" t="inlineStr"/>
    </row>
    <row r="155">
      <c r="A155" s="8" t="n">
        <v>621551</v>
      </c>
      <c r="B155" s="8" t="inlineStr">
        <is>
          <t>7891010255763</t>
        </is>
      </c>
      <c r="C155" s="8" t="inlineStr">
        <is>
          <t>HIPOGLOS ORIGINAL 40G</t>
        </is>
      </c>
      <c r="D155" s="9" t="n">
        <v>1</v>
      </c>
      <c r="E155" s="9" t="n">
        <v>2</v>
      </c>
      <c r="F155" s="9" t="n">
        <v>2</v>
      </c>
      <c r="G155" s="10" t="n">
        <v>21.3575</v>
      </c>
      <c r="H155" s="10" t="n">
        <v>18.405</v>
      </c>
      <c r="I155" s="10" t="n">
        <v>19.49</v>
      </c>
      <c r="J155" s="10" t="n">
        <v>20.6</v>
      </c>
      <c r="K155" s="10" t="n"/>
      <c r="L155" s="10" t="n">
        <v>21.8208</v>
      </c>
      <c r="M155" s="8" t="inlineStr">
        <is>
          <t>EPAN</t>
        </is>
      </c>
      <c r="N155" s="10" t="n">
        <v>19.49</v>
      </c>
      <c r="O155" s="11">
        <f>N155/G155-1</f>
        <v/>
      </c>
      <c r="P155" s="12" t="inlineStr">
        <is>
          <t>OK (≤ últ. compra)</t>
        </is>
      </c>
      <c r="Q155" s="8" t="inlineStr"/>
    </row>
    <row r="156">
      <c r="A156" s="8" t="n">
        <v>406241</v>
      </c>
      <c r="B156" s="8" t="inlineStr">
        <is>
          <t>7897411601505</t>
        </is>
      </c>
      <c r="C156" s="8" t="inlineStr">
        <is>
          <t>HIRUDOID 3MG/G GEL BG X 40G</t>
        </is>
      </c>
      <c r="D156" s="9" t="n">
        <v>1</v>
      </c>
      <c r="E156" s="9" t="n">
        <v>1</v>
      </c>
      <c r="F156" s="9" t="n">
        <v>1</v>
      </c>
      <c r="G156" s="10" t="n">
        <v>32.92</v>
      </c>
      <c r="H156" s="10" t="n">
        <v>28.79</v>
      </c>
      <c r="I156" s="10" t="n">
        <v>32.92</v>
      </c>
      <c r="J156" s="10" t="n"/>
      <c r="K156" s="10" t="n"/>
      <c r="L156" s="10" t="n">
        <v>33.35</v>
      </c>
      <c r="M156" s="8" t="inlineStr">
        <is>
          <t>EPAN</t>
        </is>
      </c>
      <c r="N156" s="10" t="n">
        <v>32.92</v>
      </c>
      <c r="O156" s="11">
        <f>N156/G156-1</f>
        <v/>
      </c>
      <c r="P156" s="12" t="inlineStr">
        <is>
          <t>OK (≤ últ. compra)</t>
        </is>
      </c>
      <c r="Q156" s="8" t="inlineStr"/>
    </row>
    <row r="157">
      <c r="A157" s="8" t="n">
        <v>406261</v>
      </c>
      <c r="B157" s="8" t="inlineStr">
        <is>
          <t>7897411601567</t>
        </is>
      </c>
      <c r="C157" s="8" t="inlineStr">
        <is>
          <t>HIRUDOID 5MG/G POM BG X 40G</t>
        </is>
      </c>
      <c r="D157" s="9" t="n">
        <v>1</v>
      </c>
      <c r="E157" s="9" t="n">
        <v>1</v>
      </c>
      <c r="F157" s="9" t="n">
        <v>1</v>
      </c>
      <c r="G157" s="10" t="n">
        <v>36.05</v>
      </c>
      <c r="H157" s="10" t="n">
        <v>31.52</v>
      </c>
      <c r="I157" s="10" t="n">
        <v>36.05</v>
      </c>
      <c r="J157" s="10" t="n"/>
      <c r="K157" s="10" t="n"/>
      <c r="L157" s="10" t="n">
        <v>36.52</v>
      </c>
      <c r="M157" s="8" t="inlineStr">
        <is>
          <t>EPAN</t>
        </is>
      </c>
      <c r="N157" s="10" t="n">
        <v>36.05</v>
      </c>
      <c r="O157" s="11">
        <f>N157/G157-1</f>
        <v/>
      </c>
      <c r="P157" s="12" t="inlineStr">
        <is>
          <t>OK (≤ últ. compra)</t>
        </is>
      </c>
      <c r="Q157" s="8" t="inlineStr"/>
    </row>
    <row r="158">
      <c r="A158" s="8" t="n">
        <v>572741</v>
      </c>
      <c r="B158" s="8" t="inlineStr">
        <is>
          <t>7898495609364</t>
        </is>
      </c>
      <c r="C158" s="8" t="inlineStr">
        <is>
          <t>IMOLAC 120ML</t>
        </is>
      </c>
      <c r="D158" s="9" t="n">
        <v>1</v>
      </c>
      <c r="E158" s="9" t="n">
        <v>1</v>
      </c>
      <c r="F158" s="9" t="n">
        <v>1</v>
      </c>
      <c r="G158" s="10" t="n">
        <v>58.6</v>
      </c>
      <c r="H158" s="10" t="n">
        <v>52.15</v>
      </c>
      <c r="I158" s="10" t="n"/>
      <c r="J158" s="10" t="n"/>
      <c r="K158" s="10" t="n"/>
      <c r="L158" s="10" t="n">
        <v>63.7</v>
      </c>
      <c r="M158" s="8" t="inlineStr">
        <is>
          <t>NAZARIA</t>
        </is>
      </c>
      <c r="N158" s="10" t="n">
        <v>63.7</v>
      </c>
      <c r="O158" s="11">
        <f>N158/G158-1</f>
        <v/>
      </c>
      <c r="P158" s="13" t="inlineStr">
        <is>
          <t>ACIMA +8.7% (vs últ. compra)</t>
        </is>
      </c>
      <c r="Q158" s="8" t="inlineStr"/>
    </row>
    <row r="159">
      <c r="A159" s="8" t="n">
        <v>592811</v>
      </c>
      <c r="B159" s="8" t="inlineStr">
        <is>
          <t>7898495609487</t>
        </is>
      </c>
      <c r="C159" s="8" t="inlineStr">
        <is>
          <t>IMOLAC SOL C/200ML+COP (CFE)</t>
        </is>
      </c>
      <c r="D159" s="9" t="n">
        <v>1</v>
      </c>
      <c r="E159" s="9" t="n">
        <v>3</v>
      </c>
      <c r="F159" s="9" t="n">
        <v>3</v>
      </c>
      <c r="G159" s="10" t="n">
        <v>67.37</v>
      </c>
      <c r="H159" s="10" t="n">
        <v>67.37</v>
      </c>
      <c r="I159" s="10" t="n"/>
      <c r="J159" s="10" t="n"/>
      <c r="K159" s="10" t="n"/>
      <c r="L159" s="10" t="n">
        <v>94.13</v>
      </c>
      <c r="M159" s="8" t="inlineStr">
        <is>
          <t>NAZARIA</t>
        </is>
      </c>
      <c r="N159" s="10" t="n">
        <v>94.13</v>
      </c>
      <c r="O159" s="11">
        <f>N159/G159-1</f>
        <v/>
      </c>
      <c r="P159" s="13" t="inlineStr">
        <is>
          <t>ACIMA +39.7% (vs últ. compra)</t>
        </is>
      </c>
      <c r="Q159" s="8" t="inlineStr"/>
    </row>
    <row r="160">
      <c r="A160" s="8" t="n">
        <v>153101</v>
      </c>
      <c r="B160" s="8" t="inlineStr">
        <is>
          <t>7896212478750</t>
        </is>
      </c>
      <c r="C160" s="8" t="inlineStr">
        <is>
          <t>IMOSEC 2MG CX 12 COMP</t>
        </is>
      </c>
      <c r="D160" s="9" t="n">
        <v>1</v>
      </c>
      <c r="E160" s="9" t="n">
        <v>25</v>
      </c>
      <c r="F160" s="9" t="n">
        <v>25</v>
      </c>
      <c r="G160" s="10" t="n">
        <v>9.02</v>
      </c>
      <c r="H160" s="10" t="n">
        <v>8.399100000000001</v>
      </c>
      <c r="I160" s="10" t="n"/>
      <c r="J160" s="10" t="n"/>
      <c r="K160" s="10" t="n"/>
      <c r="L160" s="10" t="n"/>
      <c r="M160" s="8" t="inlineStr">
        <is>
          <t>SEM COTAÇÃO</t>
        </is>
      </c>
      <c r="N160" s="10" t="n"/>
      <c r="O160" s="11" t="n"/>
      <c r="P160" s="8" t="inlineStr"/>
      <c r="Q160" s="8" t="inlineStr"/>
    </row>
    <row r="161">
      <c r="A161" s="8" t="n">
        <v>594881</v>
      </c>
      <c r="B161" s="8" t="inlineStr">
        <is>
          <t>7898639690975</t>
        </is>
      </c>
      <c r="C161" s="8" t="inlineStr">
        <is>
          <t>INALADOR NEBULIZADOR COMPACT DC1 G-TECH</t>
        </is>
      </c>
      <c r="D161" s="9" t="n">
        <v>1</v>
      </c>
      <c r="E161" s="9" t="n">
        <v>1</v>
      </c>
      <c r="F161" s="9" t="n">
        <v>1</v>
      </c>
      <c r="G161" s="10" t="n">
        <v>90.756</v>
      </c>
      <c r="H161" s="10" t="n">
        <v>90.756</v>
      </c>
      <c r="I161" s="10" t="n"/>
      <c r="J161" s="10" t="n"/>
      <c r="K161" s="10" t="n"/>
      <c r="L161" s="10" t="n"/>
      <c r="M161" s="8" t="inlineStr">
        <is>
          <t>SEM COTAÇÃO</t>
        </is>
      </c>
      <c r="N161" s="10" t="n"/>
      <c r="O161" s="11" t="n"/>
      <c r="P161" s="8" t="inlineStr"/>
      <c r="Q161" s="8" t="inlineStr"/>
    </row>
    <row r="162">
      <c r="A162" s="8" t="n">
        <v>594891</v>
      </c>
      <c r="B162" s="8" t="inlineStr">
        <is>
          <t>7898639690708</t>
        </is>
      </c>
      <c r="C162" s="8" t="inlineStr">
        <is>
          <t>INALADOR NEBULIZADOR ULTRANEB DESK2</t>
        </is>
      </c>
      <c r="D162" s="9" t="n">
        <v>1</v>
      </c>
      <c r="E162" s="9" t="n">
        <v>2</v>
      </c>
      <c r="F162" s="9" t="n">
        <v>2</v>
      </c>
      <c r="G162" s="10" t="n">
        <v>130.26</v>
      </c>
      <c r="H162" s="10" t="n">
        <v>130.26</v>
      </c>
      <c r="I162" s="10" t="n">
        <v>117.53</v>
      </c>
      <c r="J162" s="10" t="n"/>
      <c r="K162" s="10" t="n"/>
      <c r="L162" s="10" t="n"/>
      <c r="M162" s="8" t="inlineStr">
        <is>
          <t>EPAN</t>
        </is>
      </c>
      <c r="N162" s="10" t="n">
        <v>117.53</v>
      </c>
      <c r="O162" s="11">
        <f>N162/G162-1</f>
        <v/>
      </c>
      <c r="P162" s="12" t="inlineStr">
        <is>
          <t>OK (≤ menor hist.)</t>
        </is>
      </c>
      <c r="Q162" s="8" t="inlineStr"/>
    </row>
    <row r="163">
      <c r="A163" s="8" t="n">
        <v>237681</v>
      </c>
      <c r="B163" s="8" t="inlineStr">
        <is>
          <t>7896094209510</t>
        </is>
      </c>
      <c r="C163" s="8" t="inlineStr">
        <is>
          <t>IZIZ 2,5+1,5MG CX CARTELA COMP REV CAIXA C/ 3 CARTELAS</t>
        </is>
      </c>
      <c r="D163" s="9" t="n">
        <v>1</v>
      </c>
      <c r="E163" s="9" t="n">
        <v>1</v>
      </c>
      <c r="F163" s="9" t="n">
        <v>1</v>
      </c>
      <c r="G163" s="10" t="n">
        <v>42.1166666666667</v>
      </c>
      <c r="H163" s="10" t="n">
        <v>38.5967</v>
      </c>
      <c r="I163" s="10" t="n"/>
      <c r="J163" s="10" t="n">
        <v>121.6</v>
      </c>
      <c r="K163" s="10" t="n"/>
      <c r="L163" s="10" t="n">
        <v>121.5701</v>
      </c>
      <c r="M163" s="8" t="inlineStr">
        <is>
          <t>NAZARIA</t>
        </is>
      </c>
      <c r="N163" s="10" t="n">
        <v>121.5701</v>
      </c>
      <c r="O163" s="11">
        <f>N163/G163-1</f>
        <v/>
      </c>
      <c r="P163" s="13" t="inlineStr">
        <is>
          <t>ACIMA +188.7% (vs últ. compra)</t>
        </is>
      </c>
      <c r="Q163" s="8" t="inlineStr"/>
    </row>
    <row r="164">
      <c r="A164" s="8" t="n">
        <v>400881</v>
      </c>
      <c r="B164" s="8" t="inlineStr">
        <is>
          <t>7896641804380</t>
        </is>
      </c>
      <c r="C164" s="8" t="inlineStr">
        <is>
          <t>KALOBA 825MG/ML SOL ORAL FR 20ML</t>
        </is>
      </c>
      <c r="D164" s="9" t="n">
        <v>1</v>
      </c>
      <c r="E164" s="9" t="n">
        <v>1</v>
      </c>
      <c r="F164" s="9" t="n">
        <v>1</v>
      </c>
      <c r="G164" s="10" t="n">
        <v>77.37</v>
      </c>
      <c r="H164" s="10" t="n">
        <v>71.405</v>
      </c>
      <c r="I164" s="10" t="n">
        <v>77.37</v>
      </c>
      <c r="J164" s="10" t="n"/>
      <c r="K164" s="10" t="n"/>
      <c r="L164" s="10" t="n">
        <v>82.91</v>
      </c>
      <c r="M164" s="8" t="inlineStr">
        <is>
          <t>EPAN</t>
        </is>
      </c>
      <c r="N164" s="10" t="n">
        <v>77.37</v>
      </c>
      <c r="O164" s="11">
        <f>N164/G164-1</f>
        <v/>
      </c>
      <c r="P164" s="12" t="inlineStr">
        <is>
          <t>OK (≤ últ. compra)</t>
        </is>
      </c>
      <c r="Q164" s="8" t="inlineStr"/>
    </row>
    <row r="165">
      <c r="A165" s="8" t="n">
        <v>556341</v>
      </c>
      <c r="B165" s="8" t="inlineStr">
        <is>
          <t>7891317015060</t>
        </is>
      </c>
      <c r="C165" s="8" t="inlineStr">
        <is>
          <t>KOIDE D 0,25MG/5ML+2 MG/5ML XPE FR 120ML+CP MED</t>
        </is>
      </c>
      <c r="D165" s="9" t="n">
        <v>1</v>
      </c>
      <c r="E165" s="9" t="n">
        <v>2</v>
      </c>
      <c r="F165" s="9" t="n">
        <v>2</v>
      </c>
      <c r="G165" s="10" t="n">
        <v>38.1</v>
      </c>
      <c r="H165" s="10" t="n">
        <v>35.6038</v>
      </c>
      <c r="I165" s="10" t="n"/>
      <c r="J165" s="10" t="n">
        <v>39.3</v>
      </c>
      <c r="K165" s="10" t="n">
        <v>38.1</v>
      </c>
      <c r="L165" s="10" t="n">
        <v>38.9088</v>
      </c>
      <c r="M165" s="8" t="inlineStr">
        <is>
          <t>TAPAJOS</t>
        </is>
      </c>
      <c r="N165" s="10" t="n">
        <v>38.1</v>
      </c>
      <c r="O165" s="11">
        <f>N165/G165-1</f>
        <v/>
      </c>
      <c r="P165" s="12" t="inlineStr">
        <is>
          <t>OK (≤ últ. compra)</t>
        </is>
      </c>
      <c r="Q165" s="8" t="inlineStr"/>
    </row>
    <row r="166">
      <c r="A166" s="8" t="n">
        <v>190241</v>
      </c>
      <c r="B166" s="8" t="inlineStr">
        <is>
          <t>7896676427745</t>
        </is>
      </c>
      <c r="C166" s="8" t="inlineStr">
        <is>
          <t>KOLLAGENASE 0,6U/G POM DERM BG 30G+ESP</t>
        </is>
      </c>
      <c r="D166" s="9" t="n">
        <v>1</v>
      </c>
      <c r="E166" s="9" t="n">
        <v>2</v>
      </c>
      <c r="F166" s="9" t="n">
        <v>2</v>
      </c>
      <c r="G166" s="10" t="n">
        <v>54.35</v>
      </c>
      <c r="H166" s="10" t="n">
        <v>49.1033</v>
      </c>
      <c r="I166" s="10" t="n">
        <v>57.09</v>
      </c>
      <c r="J166" s="10" t="n"/>
      <c r="K166" s="10" t="n">
        <v>54.36</v>
      </c>
      <c r="L166" s="10" t="n">
        <v>55.80595</v>
      </c>
      <c r="M166" s="8" t="inlineStr">
        <is>
          <t>TAPAJOS</t>
        </is>
      </c>
      <c r="N166" s="10" t="n">
        <v>54.36</v>
      </c>
      <c r="O166" s="11">
        <f>N166/G166-1</f>
        <v/>
      </c>
      <c r="P166" s="13" t="inlineStr">
        <is>
          <t>ACIMA +0.0% (vs últ. compra)</t>
        </is>
      </c>
      <c r="Q166" s="8" t="inlineStr"/>
    </row>
    <row r="167">
      <c r="A167" s="8" t="n">
        <v>114101</v>
      </c>
      <c r="B167" s="8" t="inlineStr">
        <is>
          <t>7896676427844</t>
        </is>
      </c>
      <c r="C167" s="8" t="inlineStr">
        <is>
          <t>KOLLAGENASE+CLORANFENICOL 0,6U/G+0,01G/G POM DERM BG 15G+ESP</t>
        </is>
      </c>
      <c r="D167" s="9" t="n">
        <v>1</v>
      </c>
      <c r="E167" s="9" t="n">
        <v>7</v>
      </c>
      <c r="F167" s="9" t="n">
        <v>7</v>
      </c>
      <c r="G167" s="10" t="n">
        <v>29.24</v>
      </c>
      <c r="H167" s="10" t="n">
        <v>25.52</v>
      </c>
      <c r="I167" s="10" t="n"/>
      <c r="J167" s="10" t="n"/>
      <c r="K167" s="10" t="n">
        <v>27.55</v>
      </c>
      <c r="L167" s="10" t="n">
        <v>28.28415</v>
      </c>
      <c r="M167" s="8" t="inlineStr">
        <is>
          <t>TAPAJOS</t>
        </is>
      </c>
      <c r="N167" s="10" t="n">
        <v>27.55</v>
      </c>
      <c r="O167" s="11">
        <f>N167/G167-1</f>
        <v/>
      </c>
      <c r="P167" s="12" t="inlineStr">
        <is>
          <t>OK (≤ últ. compra)</t>
        </is>
      </c>
      <c r="Q167" s="8" t="inlineStr"/>
    </row>
    <row r="168">
      <c r="A168" s="8" t="n">
        <v>582461</v>
      </c>
      <c r="B168" s="8" t="inlineStr">
        <is>
          <t>4005900663993</t>
        </is>
      </c>
      <c r="C168" s="8" t="inlineStr">
        <is>
          <t>LABIAL NIVEA CEREJA SHINE 4,8G</t>
        </is>
      </c>
      <c r="D168" s="9" t="n">
        <v>1</v>
      </c>
      <c r="E168" s="9" t="n">
        <v>3</v>
      </c>
      <c r="F168" s="9" t="n">
        <v>3</v>
      </c>
      <c r="G168" s="10" t="n">
        <v>14.17</v>
      </c>
      <c r="H168" s="10" t="n">
        <v>14.17</v>
      </c>
      <c r="I168" s="10" t="n"/>
      <c r="J168" s="10" t="n"/>
      <c r="K168" s="10" t="n"/>
      <c r="L168" s="10" t="n">
        <v>19.41</v>
      </c>
      <c r="M168" s="8" t="inlineStr">
        <is>
          <t>NAZARIA</t>
        </is>
      </c>
      <c r="N168" s="10" t="n">
        <v>19.41</v>
      </c>
      <c r="O168" s="11">
        <f>N168/G168-1</f>
        <v/>
      </c>
      <c r="P168" s="13" t="inlineStr">
        <is>
          <t>ACIMA +37.0% (vs últ. compra)</t>
        </is>
      </c>
      <c r="Q168" s="8" t="inlineStr"/>
    </row>
    <row r="169">
      <c r="A169" s="8" t="n">
        <v>615351</v>
      </c>
      <c r="B169" s="8" t="inlineStr">
        <is>
          <t>4005808850839</t>
        </is>
      </c>
      <c r="C169" s="8" t="inlineStr">
        <is>
          <t>LABIAL NIVEA STAR FRU STRAWB 4,8G</t>
        </is>
      </c>
      <c r="D169" s="9" t="n">
        <v>1</v>
      </c>
      <c r="E169" s="9" t="n">
        <v>4</v>
      </c>
      <c r="F169" s="9" t="n">
        <v>4</v>
      </c>
      <c r="G169" s="10" t="n">
        <v>14.2933333333333</v>
      </c>
      <c r="H169" s="10" t="n">
        <v>13.92</v>
      </c>
      <c r="I169" s="10" t="n"/>
      <c r="J169" s="10" t="n"/>
      <c r="K169" s="10" t="n"/>
      <c r="L169" s="10" t="n">
        <v>19.41</v>
      </c>
      <c r="M169" s="8" t="inlineStr">
        <is>
          <t>NAZARIA</t>
        </is>
      </c>
      <c r="N169" s="10" t="n">
        <v>19.41</v>
      </c>
      <c r="O169" s="11">
        <f>N169/G169-1</f>
        <v/>
      </c>
      <c r="P169" s="13" t="inlineStr">
        <is>
          <t>ACIMA +35.8% (vs últ. compra)</t>
        </is>
      </c>
      <c r="Q169" s="8" t="inlineStr"/>
    </row>
    <row r="170">
      <c r="A170" s="8" t="n">
        <v>129021</v>
      </c>
      <c r="B170" s="8" t="inlineStr">
        <is>
          <t>7896637028523</t>
        </is>
      </c>
      <c r="C170" s="8" t="inlineStr">
        <is>
          <t>LABIRIN 24MG CX 30 COMP</t>
        </is>
      </c>
      <c r="D170" s="9" t="n">
        <v>1</v>
      </c>
      <c r="E170" s="9" t="n">
        <v>2</v>
      </c>
      <c r="F170" s="9" t="n">
        <v>2</v>
      </c>
      <c r="G170" s="10" t="n">
        <v>19.44</v>
      </c>
      <c r="H170" s="10" t="n">
        <v>16.2667</v>
      </c>
      <c r="I170" s="10" t="n">
        <v>19.44</v>
      </c>
      <c r="J170" s="10" t="n">
        <v>25.9</v>
      </c>
      <c r="K170" s="10" t="n">
        <v>25.13</v>
      </c>
      <c r="L170" s="10" t="n">
        <v>26.73</v>
      </c>
      <c r="M170" s="8" t="inlineStr">
        <is>
          <t>EPAN</t>
        </is>
      </c>
      <c r="N170" s="10" t="n">
        <v>19.44</v>
      </c>
      <c r="O170" s="11">
        <f>N170/G170-1</f>
        <v/>
      </c>
      <c r="P170" s="12" t="inlineStr">
        <is>
          <t>OK (≤ últ. compra)</t>
        </is>
      </c>
      <c r="Q170" s="8" t="inlineStr"/>
    </row>
    <row r="171">
      <c r="A171" s="8" t="n">
        <v>128941</v>
      </c>
      <c r="B171" s="8" t="inlineStr">
        <is>
          <t>7896637028417</t>
        </is>
      </c>
      <c r="C171" s="8" t="inlineStr">
        <is>
          <t>LABIRIN 8MG CX 30 COMP</t>
        </is>
      </c>
      <c r="D171" s="9" t="n">
        <v>1</v>
      </c>
      <c r="E171" s="9" t="n">
        <v>3</v>
      </c>
      <c r="F171" s="9" t="n">
        <v>3</v>
      </c>
      <c r="G171" s="10" t="n">
        <v>29.194</v>
      </c>
      <c r="H171" s="10" t="n">
        <v>29.194</v>
      </c>
      <c r="I171" s="10" t="n"/>
      <c r="J171" s="10" t="n">
        <v>29.5</v>
      </c>
      <c r="K171" s="10" t="n"/>
      <c r="L171" s="10" t="n">
        <v>30.41</v>
      </c>
      <c r="M171" s="8" t="inlineStr">
        <is>
          <t>SB LOG</t>
        </is>
      </c>
      <c r="N171" s="10" t="n">
        <v>29.5</v>
      </c>
      <c r="O171" s="11">
        <f>N171/G171-1</f>
        <v/>
      </c>
      <c r="P171" s="13" t="inlineStr">
        <is>
          <t>ACIMA +1.0% (vs últ. compra)</t>
        </is>
      </c>
      <c r="Q171" s="8" t="inlineStr"/>
    </row>
    <row r="172">
      <c r="A172" s="8" t="n">
        <v>662291</v>
      </c>
      <c r="B172" s="8" t="inlineStr">
        <is>
          <t>7896637034852</t>
        </is>
      </c>
      <c r="C172" s="8" t="inlineStr">
        <is>
          <t>LABIRIN XR 48MG 30CPR</t>
        </is>
      </c>
      <c r="D172" s="9" t="n">
        <v>1</v>
      </c>
      <c r="E172" s="9" t="n">
        <v>1</v>
      </c>
      <c r="F172" s="9" t="n">
        <v>1</v>
      </c>
      <c r="G172" s="10" t="n">
        <v>61.68</v>
      </c>
      <c r="H172" s="10" t="n">
        <v>61.67</v>
      </c>
      <c r="I172" s="10" t="n"/>
      <c r="J172" s="10" t="n">
        <v>64.7</v>
      </c>
      <c r="K172" s="10" t="n"/>
      <c r="L172" s="10" t="n">
        <v>66.68000000000001</v>
      </c>
      <c r="M172" s="8" t="inlineStr">
        <is>
          <t>SB LOG</t>
        </is>
      </c>
      <c r="N172" s="10" t="n">
        <v>64.7</v>
      </c>
      <c r="O172" s="11">
        <f>N172/G172-1</f>
        <v/>
      </c>
      <c r="P172" s="13" t="inlineStr">
        <is>
          <t>ACIMA +4.9% (vs últ. compra)</t>
        </is>
      </c>
      <c r="Q172" s="8" t="inlineStr"/>
    </row>
    <row r="173">
      <c r="A173" s="8" t="n">
        <v>570201</v>
      </c>
      <c r="B173" s="8" t="inlineStr">
        <is>
          <t>7896004762098</t>
        </is>
      </c>
      <c r="C173" s="8" t="inlineStr">
        <is>
          <t>LACDAY 8CPR MAST</t>
        </is>
      </c>
      <c r="D173" s="9" t="n">
        <v>1</v>
      </c>
      <c r="E173" s="9" t="n">
        <v>2</v>
      </c>
      <c r="F173" s="9" t="n">
        <v>2</v>
      </c>
      <c r="G173" s="10" t="n">
        <v>16.73</v>
      </c>
      <c r="H173" s="10" t="n">
        <v>16.73</v>
      </c>
      <c r="I173" s="10" t="n"/>
      <c r="J173" s="10" t="n"/>
      <c r="K173" s="10" t="n"/>
      <c r="L173" s="10" t="n">
        <v>18.83</v>
      </c>
      <c r="M173" s="8" t="inlineStr">
        <is>
          <t>SEM COTAÇÃO</t>
        </is>
      </c>
      <c r="N173" s="10" t="n"/>
      <c r="O173" s="11" t="n"/>
      <c r="P173" s="8" t="inlineStr"/>
      <c r="Q173" s="8" t="inlineStr">
        <is>
          <t>sem estoque na Nazária</t>
        </is>
      </c>
    </row>
    <row r="174">
      <c r="A174" s="8" t="n">
        <v>208201</v>
      </c>
      <c r="B174" s="8" t="inlineStr">
        <is>
          <t>7896676432855</t>
        </is>
      </c>
      <c r="C174" s="8" t="inlineStr">
        <is>
          <t>LACRIBELL 1+3MG SOL OFT FR 15ML</t>
        </is>
      </c>
      <c r="D174" s="9" t="n">
        <v>1</v>
      </c>
      <c r="E174" s="9" t="n">
        <v>2</v>
      </c>
      <c r="F174" s="9" t="n">
        <v>2</v>
      </c>
      <c r="G174" s="10" t="n">
        <v>19.53</v>
      </c>
      <c r="H174" s="10" t="n">
        <v>17.415</v>
      </c>
      <c r="I174" s="10" t="n">
        <v>19.53</v>
      </c>
      <c r="J174" s="10" t="n"/>
      <c r="K174" s="10" t="n">
        <v>18.59</v>
      </c>
      <c r="L174" s="10" t="n">
        <v>19.0877</v>
      </c>
      <c r="M174" s="8" t="inlineStr">
        <is>
          <t>TAPAJOS</t>
        </is>
      </c>
      <c r="N174" s="10" t="n">
        <v>18.59</v>
      </c>
      <c r="O174" s="11">
        <f>N174/G174-1</f>
        <v/>
      </c>
      <c r="P174" s="12" t="inlineStr">
        <is>
          <t>OK (≤ últ. compra)</t>
        </is>
      </c>
      <c r="Q174" s="8" t="inlineStr"/>
    </row>
    <row r="175">
      <c r="A175" s="8" t="n">
        <v>555341</v>
      </c>
      <c r="B175" s="8" t="inlineStr">
        <is>
          <t>7898949409458</t>
        </is>
      </c>
      <c r="C175" s="8" t="inlineStr">
        <is>
          <t>LAKESIA GENOMMA CAIXA 30ML SOLUÇÃO ANTIMICÓTICA</t>
        </is>
      </c>
      <c r="D175" s="9" t="n">
        <v>1</v>
      </c>
      <c r="E175" s="9" t="n">
        <v>2</v>
      </c>
      <c r="F175" s="9" t="n">
        <v>2</v>
      </c>
      <c r="G175" s="10" t="n">
        <v>35.342</v>
      </c>
      <c r="H175" s="10" t="n">
        <v>30.98</v>
      </c>
      <c r="I175" s="10" t="n"/>
      <c r="J175" s="10" t="n">
        <v>46</v>
      </c>
      <c r="K175" s="10" t="n"/>
      <c r="L175" s="10" t="n">
        <v>44.18</v>
      </c>
      <c r="M175" s="8" t="inlineStr">
        <is>
          <t>NAZARIA</t>
        </is>
      </c>
      <c r="N175" s="10" t="n">
        <v>44.18</v>
      </c>
      <c r="O175" s="11">
        <f>N175/G175-1</f>
        <v/>
      </c>
      <c r="P175" s="13" t="inlineStr">
        <is>
          <t>ACIMA +25.0% (vs últ. compra)</t>
        </is>
      </c>
      <c r="Q175" s="8" t="inlineStr"/>
    </row>
    <row r="176">
      <c r="A176" s="8" t="n">
        <v>1183</v>
      </c>
      <c r="B176" s="8" t="inlineStr">
        <is>
          <t>7898639691965</t>
        </is>
      </c>
      <c r="C176" s="8" t="inlineStr">
        <is>
          <t>LANCETAS PARA LANCETADOR 30G C/50 UND</t>
        </is>
      </c>
      <c r="D176" s="9" t="n">
        <v>1</v>
      </c>
      <c r="E176" s="9" t="n">
        <v>1</v>
      </c>
      <c r="F176" s="9" t="n">
        <v>1</v>
      </c>
      <c r="G176" s="10" t="n">
        <v>2.84</v>
      </c>
      <c r="H176" s="10" t="n">
        <v>2.84</v>
      </c>
      <c r="I176" s="10" t="n"/>
      <c r="J176" s="10" t="n"/>
      <c r="K176" s="10" t="n"/>
      <c r="L176" s="10" t="n"/>
      <c r="M176" s="8" t="inlineStr">
        <is>
          <t>SEM COTAÇÃO</t>
        </is>
      </c>
      <c r="N176" s="10" t="n"/>
      <c r="O176" s="11" t="n"/>
      <c r="P176" s="8" t="inlineStr"/>
      <c r="Q176" s="8" t="inlineStr"/>
    </row>
    <row r="177">
      <c r="A177" s="8" t="n">
        <v>655561</v>
      </c>
      <c r="B177" s="8" t="inlineStr">
        <is>
          <t>7891317029869</t>
        </is>
      </c>
      <c r="C177" s="8" t="inlineStr">
        <is>
          <t>LARC 500MG C/14 COMP-SIMILAR</t>
        </is>
      </c>
      <c r="D177" s="9" t="n">
        <v>1</v>
      </c>
      <c r="E177" s="9" t="n">
        <v>1</v>
      </c>
      <c r="F177" s="9" t="n">
        <v>1</v>
      </c>
      <c r="G177" s="10" t="n">
        <v>33.36</v>
      </c>
      <c r="H177" s="10" t="n">
        <v>33.36</v>
      </c>
      <c r="I177" s="10" t="n"/>
      <c r="J177" s="10" t="n"/>
      <c r="K177" s="10" t="n"/>
      <c r="L177" s="10" t="n">
        <v>37.3</v>
      </c>
      <c r="M177" s="8" t="inlineStr">
        <is>
          <t>SEM COTAÇÃO</t>
        </is>
      </c>
      <c r="N177" s="10" t="n"/>
      <c r="O177" s="11" t="n"/>
      <c r="P177" s="8" t="inlineStr"/>
      <c r="Q177" s="8" t="inlineStr">
        <is>
          <t>sem estoque na Nazária</t>
        </is>
      </c>
    </row>
    <row r="178">
      <c r="A178" s="8" t="n">
        <v>671941</v>
      </c>
      <c r="B178" s="8" t="inlineStr">
        <is>
          <t>7891317040949</t>
        </is>
      </c>
      <c r="C178" s="8" t="inlineStr">
        <is>
          <t>LARC 600MG C/14 COMP REV-SIMILAR</t>
        </is>
      </c>
      <c r="D178" s="9" t="n">
        <v>1</v>
      </c>
      <c r="E178" s="9" t="n">
        <v>4</v>
      </c>
      <c r="F178" s="9" t="n">
        <v>4</v>
      </c>
      <c r="G178" s="10" t="n">
        <v>43.96</v>
      </c>
      <c r="H178" s="10" t="n">
        <v>37.81</v>
      </c>
      <c r="I178" s="10" t="n">
        <v>37.81</v>
      </c>
      <c r="J178" s="10" t="n">
        <v>44.1</v>
      </c>
      <c r="K178" s="10" t="n">
        <v>42.75</v>
      </c>
      <c r="L178" s="10" t="n">
        <v>43.66079999999999</v>
      </c>
      <c r="M178" s="8" t="inlineStr">
        <is>
          <t>EPAN</t>
        </is>
      </c>
      <c r="N178" s="10" t="n">
        <v>37.81</v>
      </c>
      <c r="O178" s="11">
        <f>N178/G178-1</f>
        <v/>
      </c>
      <c r="P178" s="12" t="inlineStr">
        <is>
          <t>OK (≤ menor hist.)</t>
        </is>
      </c>
      <c r="Q178" s="8" t="inlineStr"/>
    </row>
    <row r="179">
      <c r="A179" s="8" t="n">
        <v>434101</v>
      </c>
      <c r="B179" s="8" t="inlineStr">
        <is>
          <t>7898560664373</t>
        </is>
      </c>
      <c r="C179" s="8" t="inlineStr">
        <is>
          <t>LEGALON 64MG/5ML SUS OR FR 100ML</t>
        </is>
      </c>
      <c r="D179" s="9" t="n">
        <v>1</v>
      </c>
      <c r="E179" s="9" t="n">
        <v>1</v>
      </c>
      <c r="F179" s="9" t="n">
        <v>1</v>
      </c>
      <c r="G179" s="10" t="n">
        <v>78.62</v>
      </c>
      <c r="H179" s="10" t="n">
        <v>74.58</v>
      </c>
      <c r="I179" s="10" t="n"/>
      <c r="J179" s="10" t="n">
        <v>79.5</v>
      </c>
      <c r="K179" s="10" t="n">
        <v>78.62</v>
      </c>
      <c r="L179" s="10" t="n">
        <v>83.8</v>
      </c>
      <c r="M179" s="8" t="inlineStr">
        <is>
          <t>TAPAJOS</t>
        </is>
      </c>
      <c r="N179" s="10" t="n">
        <v>78.62</v>
      </c>
      <c r="O179" s="11">
        <f>N179/G179-1</f>
        <v/>
      </c>
      <c r="P179" s="12" t="inlineStr">
        <is>
          <t>OK (≤ últ. compra)</t>
        </is>
      </c>
      <c r="Q179" s="8" t="inlineStr"/>
    </row>
    <row r="180">
      <c r="A180" s="8" t="n">
        <v>651991</v>
      </c>
      <c r="B180" s="8" t="inlineStr">
        <is>
          <t>7895858015664</t>
        </is>
      </c>
      <c r="C180" s="8" t="inlineStr">
        <is>
          <t>LEITE DE MAGNESIA PHILLIPS HORT 120ML</t>
        </is>
      </c>
      <c r="D180" s="9" t="n">
        <v>1</v>
      </c>
      <c r="E180" s="9" t="n">
        <v>1</v>
      </c>
      <c r="F180" s="9" t="n">
        <v>1</v>
      </c>
      <c r="G180" s="10" t="n">
        <v>18.31</v>
      </c>
      <c r="H180" s="10" t="n">
        <v>9.81</v>
      </c>
      <c r="I180" s="10" t="n">
        <v>13.74</v>
      </c>
      <c r="J180" s="10" t="n">
        <v>18.3</v>
      </c>
      <c r="K180" s="10" t="n"/>
      <c r="L180" s="10" t="n">
        <v>16.048</v>
      </c>
      <c r="M180" s="8" t="inlineStr">
        <is>
          <t>NAZARIA</t>
        </is>
      </c>
      <c r="N180" s="10" t="n">
        <v>16.048</v>
      </c>
      <c r="O180" s="11">
        <f>N180/G180-1</f>
        <v/>
      </c>
      <c r="P180" s="12" t="inlineStr">
        <is>
          <t>OK (≤ últ. compra)</t>
        </is>
      </c>
      <c r="Q180" s="8" t="inlineStr">
        <is>
          <t>sem estoque no ePan</t>
        </is>
      </c>
    </row>
    <row r="181">
      <c r="A181" s="8" t="n">
        <v>539621</v>
      </c>
      <c r="B181" s="8" t="inlineStr">
        <is>
          <t>7895858015688</t>
        </is>
      </c>
      <c r="C181" s="8" t="inlineStr">
        <is>
          <t>LEITE MAGNESIA PHIL C/120ML</t>
        </is>
      </c>
      <c r="D181" s="9" t="n">
        <v>1</v>
      </c>
      <c r="E181" s="9" t="n">
        <v>7</v>
      </c>
      <c r="F181" s="9" t="n">
        <v>7</v>
      </c>
      <c r="G181" s="10" t="n">
        <v>16.875</v>
      </c>
      <c r="H181" s="10" t="n">
        <v>8.1403</v>
      </c>
      <c r="I181" s="10" t="n">
        <v>13.74</v>
      </c>
      <c r="J181" s="10" t="n"/>
      <c r="K181" s="10" t="n"/>
      <c r="L181" s="10" t="n">
        <v>16.048</v>
      </c>
      <c r="M181" s="8" t="inlineStr">
        <is>
          <t>EPAN</t>
        </is>
      </c>
      <c r="N181" s="10" t="n">
        <v>13.74</v>
      </c>
      <c r="O181" s="11">
        <f>N181/G181-1</f>
        <v/>
      </c>
      <c r="P181" s="12" t="inlineStr">
        <is>
          <t>OK (≤ últ. compra)</t>
        </is>
      </c>
      <c r="Q181" s="8" t="inlineStr"/>
    </row>
    <row r="182">
      <c r="A182" s="8" t="n">
        <v>560961</v>
      </c>
      <c r="B182" s="8" t="inlineStr">
        <is>
          <t>7895858015695</t>
        </is>
      </c>
      <c r="C182" s="8" t="inlineStr">
        <is>
          <t>LEITE MAGNESIA PHILL 350ML</t>
        </is>
      </c>
      <c r="D182" s="9" t="n">
        <v>1</v>
      </c>
      <c r="E182" s="9" t="n">
        <v>2</v>
      </c>
      <c r="F182" s="9" t="n">
        <v>2</v>
      </c>
      <c r="G182" s="10" t="n">
        <v>27.2466666666667</v>
      </c>
      <c r="H182" s="10" t="n">
        <v>13.1507</v>
      </c>
      <c r="I182" s="10" t="n">
        <v>22.18</v>
      </c>
      <c r="J182" s="10" t="n">
        <v>29.6</v>
      </c>
      <c r="K182" s="10" t="n"/>
      <c r="L182" s="10" t="n">
        <v>25.9165</v>
      </c>
      <c r="M182" s="8" t="inlineStr">
        <is>
          <t>EPAN</t>
        </is>
      </c>
      <c r="N182" s="10" t="n">
        <v>22.18</v>
      </c>
      <c r="O182" s="11">
        <f>N182/G182-1</f>
        <v/>
      </c>
      <c r="P182" s="12" t="inlineStr">
        <is>
          <t>OK (≤ últ. compra)</t>
        </is>
      </c>
      <c r="Q182" s="8" t="inlineStr"/>
    </row>
    <row r="183">
      <c r="A183" s="8" t="n">
        <v>623531</v>
      </c>
      <c r="B183" s="8" t="inlineStr">
        <is>
          <t>3337875803786</t>
        </is>
      </c>
      <c r="C183" s="8" t="inlineStr">
        <is>
          <t>LIPIKAR BAUME LIGHT AP+M 400ML-DEMAIS PROD</t>
        </is>
      </c>
      <c r="D183" s="9" t="n">
        <v>1</v>
      </c>
      <c r="E183" s="9" t="n">
        <v>1</v>
      </c>
      <c r="F183" s="9" t="n">
        <v>1</v>
      </c>
      <c r="G183" s="10" t="n">
        <v>162.55</v>
      </c>
      <c r="H183" s="10" t="n">
        <v>162.55</v>
      </c>
      <c r="I183" s="10" t="n"/>
      <c r="J183" s="10" t="n"/>
      <c r="K183" s="10" t="n"/>
      <c r="L183" s="10" t="n">
        <v>206.58</v>
      </c>
      <c r="M183" s="8" t="inlineStr">
        <is>
          <t>SEM COTAÇÃO</t>
        </is>
      </c>
      <c r="N183" s="10" t="n"/>
      <c r="O183" s="11" t="n"/>
      <c r="P183" s="8" t="inlineStr"/>
      <c r="Q183" s="8" t="inlineStr">
        <is>
          <t>sem estoque na Nazária</t>
        </is>
      </c>
    </row>
    <row r="184">
      <c r="A184" s="8" t="n">
        <v>619591</v>
      </c>
      <c r="B184" s="8" t="inlineStr">
        <is>
          <t>4005900399861</t>
        </is>
      </c>
      <c r="C184" s="8" t="inlineStr">
        <is>
          <t>LOC NIVEA DEO HIDRA DERMA CARE 200ML</t>
        </is>
      </c>
      <c r="D184" s="9" t="n">
        <v>1</v>
      </c>
      <c r="E184" s="9" t="n">
        <v>1</v>
      </c>
      <c r="F184" s="9" t="n">
        <v>1</v>
      </c>
      <c r="G184" s="10" t="n">
        <v>35.77</v>
      </c>
      <c r="H184" s="10" t="n">
        <v>35.77</v>
      </c>
      <c r="I184" s="10" t="n"/>
      <c r="J184" s="10" t="n"/>
      <c r="K184" s="10" t="n"/>
      <c r="L184" s="10" t="n"/>
      <c r="M184" s="8" t="inlineStr">
        <is>
          <t>SEM COTAÇÃO</t>
        </is>
      </c>
      <c r="N184" s="10" t="n"/>
      <c r="O184" s="11" t="n"/>
      <c r="P184" s="8" t="inlineStr"/>
      <c r="Q184" s="8" t="inlineStr"/>
    </row>
    <row r="185">
      <c r="A185" s="8" t="n">
        <v>62761</v>
      </c>
      <c r="B185" s="8" t="inlineStr">
        <is>
          <t>7896637023443</t>
        </is>
      </c>
      <c r="C185" s="8" t="inlineStr">
        <is>
          <t>LONIUM 40MG CX 30 COMP REV</t>
        </is>
      </c>
      <c r="D185" s="9" t="n">
        <v>1</v>
      </c>
      <c r="E185" s="9" t="n">
        <v>1</v>
      </c>
      <c r="F185" s="9" t="n">
        <v>1</v>
      </c>
      <c r="G185" s="10" t="n">
        <v>59.94</v>
      </c>
      <c r="H185" s="10" t="n">
        <v>59.94</v>
      </c>
      <c r="I185" s="10" t="n"/>
      <c r="J185" s="10" t="n"/>
      <c r="K185" s="10" t="n"/>
      <c r="L185" s="10" t="n"/>
      <c r="M185" s="8" t="inlineStr">
        <is>
          <t>SEM COTAÇÃO</t>
        </is>
      </c>
      <c r="N185" s="10" t="n"/>
      <c r="O185" s="11" t="n"/>
      <c r="P185" s="8" t="inlineStr"/>
      <c r="Q185" s="8" t="inlineStr"/>
    </row>
    <row r="186">
      <c r="A186" s="8" t="n">
        <v>553481</v>
      </c>
      <c r="B186" s="8" t="inlineStr">
        <is>
          <t>7895858017422</t>
        </is>
      </c>
      <c r="C186" s="8" t="inlineStr">
        <is>
          <t>MAGNESIA BISURADA 63,7+521+67+3,3MG(CARTELA)</t>
        </is>
      </c>
      <c r="D186" s="9" t="n">
        <v>4</v>
      </c>
      <c r="E186" s="9" t="n">
        <v>3</v>
      </c>
      <c r="F186" s="9" t="n">
        <v>12</v>
      </c>
      <c r="G186" s="10" t="n">
        <v>10.268125</v>
      </c>
      <c r="H186" s="10" t="n">
        <v>8.754799999999999</v>
      </c>
      <c r="I186" s="10" t="n"/>
      <c r="J186" s="10" t="n"/>
      <c r="K186" s="10" t="n"/>
      <c r="L186" s="10" t="n"/>
      <c r="M186" s="8" t="inlineStr">
        <is>
          <t>SEM COTAÇÃO</t>
        </is>
      </c>
      <c r="N186" s="10" t="n"/>
      <c r="O186" s="11" t="n"/>
      <c r="P186" s="8" t="inlineStr"/>
      <c r="Q186" s="8" t="inlineStr"/>
    </row>
    <row r="187">
      <c r="A187" s="8" t="n">
        <v>79381</v>
      </c>
      <c r="B187" s="8" t="inlineStr">
        <is>
          <t>7895858017309</t>
        </is>
      </c>
      <c r="C187" s="8" t="inlineStr">
        <is>
          <t>MAGNESIA BISURADA 63,70+521,0+67,0+3,30MG CX 200 PAST</t>
        </is>
      </c>
      <c r="D187" s="9" t="n">
        <v>20</v>
      </c>
      <c r="E187" s="9" t="n">
        <v>1</v>
      </c>
      <c r="F187" s="9" t="n">
        <v>20</v>
      </c>
      <c r="G187" s="10" t="n">
        <v>9.77930769230769</v>
      </c>
      <c r="H187" s="10" t="n">
        <v>8.995799999999999</v>
      </c>
      <c r="I187" s="10" t="n"/>
      <c r="J187" s="10" t="n"/>
      <c r="K187" s="10" t="n"/>
      <c r="L187" s="10" t="n"/>
      <c r="M187" s="8" t="inlineStr">
        <is>
          <t>SEM COTAÇÃO</t>
        </is>
      </c>
      <c r="N187" s="10" t="n"/>
      <c r="O187" s="11" t="n"/>
      <c r="P187" s="8" t="inlineStr"/>
      <c r="Q187" s="8" t="inlineStr"/>
    </row>
    <row r="188">
      <c r="A188" s="8" t="n">
        <v>449941</v>
      </c>
      <c r="B188" s="8" t="inlineStr">
        <is>
          <t>7896026170475</t>
        </is>
      </c>
      <c r="C188" s="8" t="inlineStr">
        <is>
          <t>MALVATRICIN 0,1+1MG/ML SOL TOP FR 250ML</t>
        </is>
      </c>
      <c r="D188" s="9" t="n">
        <v>1</v>
      </c>
      <c r="E188" s="9" t="n">
        <v>1</v>
      </c>
      <c r="F188" s="9" t="n">
        <v>1</v>
      </c>
      <c r="G188" s="10" t="n">
        <v>27.715</v>
      </c>
      <c r="H188" s="10" t="n">
        <v>27.715</v>
      </c>
      <c r="I188" s="10" t="n"/>
      <c r="J188" s="10" t="n"/>
      <c r="K188" s="10" t="n"/>
      <c r="L188" s="10" t="n">
        <v>31.45</v>
      </c>
      <c r="M188" s="8" t="inlineStr">
        <is>
          <t>SEM COTAÇÃO</t>
        </is>
      </c>
      <c r="N188" s="10" t="n"/>
      <c r="O188" s="11" t="n"/>
      <c r="P188" s="8" t="inlineStr"/>
      <c r="Q188" s="8" t="inlineStr">
        <is>
          <t>sem estoque na Nazária</t>
        </is>
      </c>
    </row>
    <row r="189">
      <c r="A189" s="8" t="n">
        <v>654211</v>
      </c>
      <c r="B189" s="8" t="inlineStr">
        <is>
          <t>7896026170406</t>
        </is>
      </c>
      <c r="C189" s="8" t="inlineStr">
        <is>
          <t>MALVATRIKIDS BABY CR DEN S/FLUOR 70G</t>
        </is>
      </c>
      <c r="D189" s="9" t="n">
        <v>1</v>
      </c>
      <c r="E189" s="9" t="n">
        <v>3</v>
      </c>
      <c r="F189" s="9" t="n">
        <v>3</v>
      </c>
      <c r="G189" s="10" t="n">
        <v>13.26</v>
      </c>
      <c r="H189" s="10" t="n">
        <v>13.26</v>
      </c>
      <c r="I189" s="10" t="n"/>
      <c r="J189" s="10" t="n"/>
      <c r="K189" s="10" t="n"/>
      <c r="L189" s="10" t="n">
        <v>18.98</v>
      </c>
      <c r="M189" s="8" t="inlineStr">
        <is>
          <t>NAZARIA</t>
        </is>
      </c>
      <c r="N189" s="10" t="n">
        <v>18.98</v>
      </c>
      <c r="O189" s="11">
        <f>N189/G189-1</f>
        <v/>
      </c>
      <c r="P189" s="13" t="inlineStr">
        <is>
          <t>ACIMA +43.1% (vs últ. compra)</t>
        </is>
      </c>
      <c r="Q189" s="8" t="inlineStr"/>
    </row>
    <row r="190">
      <c r="A190" s="8" t="n">
        <v>654241</v>
      </c>
      <c r="B190" s="8" t="inlineStr">
        <is>
          <t>7896026172158</t>
        </is>
      </c>
      <c r="C190" s="8" t="inlineStr">
        <is>
          <t>MALVATRIKIDS JUNIOR GEL DENT 85G</t>
        </is>
      </c>
      <c r="D190" s="9" t="n">
        <v>1</v>
      </c>
      <c r="E190" s="9" t="n">
        <v>1</v>
      </c>
      <c r="F190" s="9" t="n">
        <v>1</v>
      </c>
      <c r="G190" s="10" t="n">
        <v>16.725</v>
      </c>
      <c r="H190" s="10" t="n">
        <v>16.725</v>
      </c>
      <c r="I190" s="10" t="n"/>
      <c r="J190" s="10" t="n"/>
      <c r="K190" s="10" t="n"/>
      <c r="L190" s="10" t="n">
        <v>18.98</v>
      </c>
      <c r="M190" s="8" t="inlineStr">
        <is>
          <t>SEM COTAÇÃO</t>
        </is>
      </c>
      <c r="N190" s="10" t="n"/>
      <c r="O190" s="11" t="n"/>
      <c r="P190" s="8" t="inlineStr"/>
      <c r="Q190" s="8" t="inlineStr">
        <is>
          <t>sem estoque na Nazária</t>
        </is>
      </c>
    </row>
    <row r="191">
      <c r="A191" s="8" t="n">
        <v>652061</v>
      </c>
      <c r="B191" s="8" t="inlineStr">
        <is>
          <t>7891317029951</t>
        </is>
      </c>
      <c r="C191" s="8" t="inlineStr">
        <is>
          <t>MAQ SENIOR PREMIUM 30CPR-DEMAIS PROD</t>
        </is>
      </c>
      <c r="D191" s="9" t="n">
        <v>1</v>
      </c>
      <c r="E191" s="9" t="n">
        <v>1</v>
      </c>
      <c r="F191" s="9" t="n">
        <v>1</v>
      </c>
      <c r="G191" s="10" t="n">
        <v>40.97</v>
      </c>
      <c r="H191" s="10" t="n">
        <v>40.97</v>
      </c>
      <c r="I191" s="10" t="n"/>
      <c r="J191" s="10" t="n"/>
      <c r="K191" s="10" t="n"/>
      <c r="L191" s="10" t="n"/>
      <c r="M191" s="8" t="inlineStr">
        <is>
          <t>SEM COTAÇÃO</t>
        </is>
      </c>
      <c r="N191" s="10" t="n"/>
      <c r="O191" s="11" t="n"/>
      <c r="P191" s="8" t="inlineStr"/>
      <c r="Q191" s="8" t="inlineStr"/>
    </row>
    <row r="192">
      <c r="A192" s="8" t="n">
        <v>550821</v>
      </c>
      <c r="B192" s="8" t="inlineStr">
        <is>
          <t>7898040325237</t>
        </is>
      </c>
      <c r="C192" s="8" t="inlineStr">
        <is>
          <t>MARESIS (N.S.) BABY SOL SPRAY FR 100ML</t>
        </is>
      </c>
      <c r="D192" s="9" t="n">
        <v>1</v>
      </c>
      <c r="E192" s="9" t="n">
        <v>2</v>
      </c>
      <c r="F192" s="9" t="n">
        <v>2</v>
      </c>
      <c r="G192" s="10" t="n">
        <v>38.41</v>
      </c>
      <c r="H192" s="10" t="n">
        <v>34.369</v>
      </c>
      <c r="I192" s="10" t="n"/>
      <c r="J192" s="10" t="n">
        <v>44</v>
      </c>
      <c r="K192" s="10" t="n">
        <v>43.4</v>
      </c>
      <c r="L192" s="10" t="n">
        <v>36.96449999999999</v>
      </c>
      <c r="M192" s="8" t="inlineStr">
        <is>
          <t>NAZARIA</t>
        </is>
      </c>
      <c r="N192" s="10" t="n">
        <v>36.96449999999999</v>
      </c>
      <c r="O192" s="11">
        <f>N192/G192-1</f>
        <v/>
      </c>
      <c r="P192" s="12" t="inlineStr">
        <is>
          <t>OK (≤ últ. compra)</t>
        </is>
      </c>
      <c r="Q192" s="8" t="inlineStr"/>
    </row>
    <row r="193">
      <c r="A193" s="8" t="n">
        <v>640591</v>
      </c>
      <c r="B193" s="8" t="inlineStr">
        <is>
          <t>7898040322540</t>
        </is>
      </c>
      <c r="C193" s="8" t="inlineStr">
        <is>
          <t>MARESIS (N.S.) SOL SPRAY FR 100ML</t>
        </is>
      </c>
      <c r="D193" s="9" t="n">
        <v>1</v>
      </c>
      <c r="E193" s="9" t="n">
        <v>1</v>
      </c>
      <c r="F193" s="9" t="n">
        <v>1</v>
      </c>
      <c r="G193" s="10" t="n">
        <v>41.6</v>
      </c>
      <c r="H193" s="10" t="n">
        <v>37.585</v>
      </c>
      <c r="I193" s="10" t="n"/>
      <c r="J193" s="10" t="n">
        <v>41.3</v>
      </c>
      <c r="K193" s="10" t="n">
        <v>40.73</v>
      </c>
      <c r="L193" s="10" t="n">
        <v>36.96449999999999</v>
      </c>
      <c r="M193" s="8" t="inlineStr">
        <is>
          <t>NAZARIA</t>
        </is>
      </c>
      <c r="N193" s="10" t="n">
        <v>36.96449999999999</v>
      </c>
      <c r="O193" s="11">
        <f>N193/G193-1</f>
        <v/>
      </c>
      <c r="P193" s="12" t="inlineStr">
        <is>
          <t>OK (≤ menor hist.)</t>
        </is>
      </c>
      <c r="Q193" s="8" t="inlineStr"/>
    </row>
    <row r="194">
      <c r="A194" s="8" t="n">
        <v>653761</v>
      </c>
      <c r="B194" s="8" t="inlineStr">
        <is>
          <t>7898244720609</t>
        </is>
      </c>
      <c r="C194" s="8" t="inlineStr">
        <is>
          <t>MARESIS FLEX 1,08G KIT FR+15SACH   FQM %DN:15.00</t>
        </is>
      </c>
      <c r="D194" s="9" t="n">
        <v>1</v>
      </c>
      <c r="E194" s="9" t="n">
        <v>1</v>
      </c>
      <c r="F194" s="9" t="n">
        <v>1</v>
      </c>
      <c r="G194" s="10" t="n">
        <v>33.8425</v>
      </c>
      <c r="H194" s="10" t="n">
        <v>33.8425</v>
      </c>
      <c r="I194" s="10" t="n"/>
      <c r="J194" s="10" t="n"/>
      <c r="K194" s="10" t="n"/>
      <c r="L194" s="10" t="n">
        <v>36.423</v>
      </c>
      <c r="M194" s="8" t="inlineStr">
        <is>
          <t>NAZARIA</t>
        </is>
      </c>
      <c r="N194" s="10" t="n">
        <v>36.423</v>
      </c>
      <c r="O194" s="11">
        <f>N194/G194-1</f>
        <v/>
      </c>
      <c r="P194" s="13" t="inlineStr">
        <is>
          <t>ACIMA +7.6% (vs últ. compra)</t>
        </is>
      </c>
      <c r="Q194" s="8" t="inlineStr"/>
    </row>
    <row r="195">
      <c r="A195" s="8" t="n">
        <v>653771</v>
      </c>
      <c r="B195" s="8" t="inlineStr">
        <is>
          <t>7898244720630</t>
        </is>
      </c>
      <c r="C195" s="8" t="inlineStr">
        <is>
          <t>MARESIS FLEX 2,16G KIT FR+30SACH   FQM %DN:15.00</t>
        </is>
      </c>
      <c r="D195" s="9" t="n">
        <v>1</v>
      </c>
      <c r="E195" s="9" t="n">
        <v>1</v>
      </c>
      <c r="F195" s="9" t="n">
        <v>1</v>
      </c>
      <c r="G195" s="10" t="n">
        <v>52.78</v>
      </c>
      <c r="H195" s="10" t="n">
        <v>52.78</v>
      </c>
      <c r="I195" s="10" t="n"/>
      <c r="J195" s="10" t="n"/>
      <c r="K195" s="10" t="n"/>
      <c r="L195" s="10" t="n">
        <v>61.90199999999999</v>
      </c>
      <c r="M195" s="8" t="inlineStr">
        <is>
          <t>NAZARIA</t>
        </is>
      </c>
      <c r="N195" s="10" t="n">
        <v>61.90199999999999</v>
      </c>
      <c r="O195" s="11">
        <f>N195/G195-1</f>
        <v/>
      </c>
      <c r="P195" s="13" t="inlineStr">
        <is>
          <t>ACIMA +17.3% (vs últ. compra)</t>
        </is>
      </c>
      <c r="Q195" s="8" t="inlineStr"/>
    </row>
    <row r="196">
      <c r="A196" s="8" t="n">
        <v>664741</v>
      </c>
      <c r="B196" s="8" t="inlineStr">
        <is>
          <t>7891000359426</t>
        </is>
      </c>
      <c r="C196" s="8" t="inlineStr">
        <is>
          <t>MATERNA DHA 30CAP</t>
        </is>
      </c>
      <c r="D196" s="9" t="n">
        <v>1</v>
      </c>
      <c r="E196" s="9" t="n">
        <v>1</v>
      </c>
      <c r="F196" s="9" t="n">
        <v>1</v>
      </c>
      <c r="G196" s="10" t="n">
        <v>62.74</v>
      </c>
      <c r="H196" s="10" t="n">
        <v>62.74</v>
      </c>
      <c r="I196" s="10" t="n">
        <v>55.82</v>
      </c>
      <c r="J196" s="10" t="n"/>
      <c r="K196" s="10" t="n"/>
      <c r="L196" s="10" t="n">
        <v>75.98999999999999</v>
      </c>
      <c r="M196" s="8" t="inlineStr">
        <is>
          <t>SEM COTAÇÃO</t>
        </is>
      </c>
      <c r="N196" s="10" t="n"/>
      <c r="O196" s="11" t="n"/>
      <c r="P196" s="8" t="inlineStr"/>
      <c r="Q196" s="8" t="inlineStr">
        <is>
          <t>sem estoque na Nazária; sem estoque no ePan</t>
        </is>
      </c>
    </row>
    <row r="197">
      <c r="A197" s="8" t="n">
        <v>667521</v>
      </c>
      <c r="B197" s="8" t="inlineStr">
        <is>
          <t>7891000361887</t>
        </is>
      </c>
      <c r="C197" s="8" t="inlineStr">
        <is>
          <t>MATERNA SUPL MV DHA 30 CAPS-DEMAIS PROD</t>
        </is>
      </c>
      <c r="D197" s="9" t="n">
        <v>1</v>
      </c>
      <c r="E197" s="9" t="n">
        <v>1</v>
      </c>
      <c r="F197" s="9" t="n">
        <v>1</v>
      </c>
      <c r="G197" s="10" t="n">
        <v>104.56</v>
      </c>
      <c r="H197" s="10" t="n">
        <v>104.56</v>
      </c>
      <c r="I197" s="10" t="n">
        <v>93.06</v>
      </c>
      <c r="J197" s="10" t="n"/>
      <c r="K197" s="10" t="n"/>
      <c r="L197" s="10" t="n"/>
      <c r="M197" s="8" t="inlineStr">
        <is>
          <t>SEM COTAÇÃO</t>
        </is>
      </c>
      <c r="N197" s="10" t="n"/>
      <c r="O197" s="11" t="n"/>
      <c r="P197" s="8" t="inlineStr"/>
      <c r="Q197" s="8" t="inlineStr">
        <is>
          <t>sem estoque no ePan</t>
        </is>
      </c>
    </row>
    <row r="198">
      <c r="A198" s="8" t="n">
        <v>206681</v>
      </c>
      <c r="B198" s="8" t="inlineStr">
        <is>
          <t>7896548111727</t>
        </is>
      </c>
      <c r="C198" s="8" t="inlineStr">
        <is>
          <t>MAXIDEX 1MG/ML SUS OFT FR GTS 5ML</t>
        </is>
      </c>
      <c r="D198" s="9" t="n">
        <v>1</v>
      </c>
      <c r="E198" s="9" t="n">
        <v>9</v>
      </c>
      <c r="F198" s="9" t="n">
        <v>9</v>
      </c>
      <c r="G198" s="10" t="n">
        <v>8.23</v>
      </c>
      <c r="H198" s="10" t="n">
        <v>7.8167</v>
      </c>
      <c r="I198" s="10" t="n">
        <v>8.23</v>
      </c>
      <c r="J198" s="10" t="n">
        <v>8.5</v>
      </c>
      <c r="K198" s="10" t="n">
        <v>8.27</v>
      </c>
      <c r="L198" s="10" t="n">
        <v>8.536000000000001</v>
      </c>
      <c r="M198" s="8" t="inlineStr">
        <is>
          <t>EPAN</t>
        </is>
      </c>
      <c r="N198" s="10" t="n">
        <v>8.23</v>
      </c>
      <c r="O198" s="11">
        <f>N198/G198-1</f>
        <v/>
      </c>
      <c r="P198" s="12" t="inlineStr">
        <is>
          <t>OK (≤ últ. compra)</t>
        </is>
      </c>
      <c r="Q198" s="8" t="inlineStr"/>
    </row>
    <row r="199">
      <c r="A199" s="8" t="n">
        <v>588701</v>
      </c>
      <c r="B199" s="8" t="inlineStr">
        <is>
          <t>7898495605533</t>
        </is>
      </c>
      <c r="C199" s="8" t="inlineStr">
        <is>
          <t>MAXIMUS A-Z C/30CP (CFE)</t>
        </is>
      </c>
      <c r="D199" s="9" t="n">
        <v>1</v>
      </c>
      <c r="E199" s="9" t="n">
        <v>1</v>
      </c>
      <c r="F199" s="9" t="n">
        <v>1</v>
      </c>
      <c r="G199" s="10" t="n">
        <v>85.77</v>
      </c>
      <c r="H199" s="10" t="n">
        <v>85.77</v>
      </c>
      <c r="I199" s="10" t="n"/>
      <c r="J199" s="10" t="n"/>
      <c r="K199" s="10" t="n"/>
      <c r="L199" s="10" t="n"/>
      <c r="M199" s="8" t="inlineStr">
        <is>
          <t>SEM COTAÇÃO</t>
        </is>
      </c>
      <c r="N199" s="10" t="n"/>
      <c r="O199" s="11" t="n"/>
      <c r="P199" s="8" t="inlineStr"/>
      <c r="Q199" s="8" t="inlineStr"/>
    </row>
    <row r="200">
      <c r="A200" s="8" t="n">
        <v>337721</v>
      </c>
      <c r="B200" s="8" t="inlineStr">
        <is>
          <t>7896637023115</t>
        </is>
      </c>
      <c r="C200" s="8" t="inlineStr">
        <is>
          <t>MECLIN 25MG CX 15 COMP</t>
        </is>
      </c>
      <c r="D200" s="9" t="n">
        <v>1</v>
      </c>
      <c r="E200" s="9" t="n">
        <v>9</v>
      </c>
      <c r="F200" s="9" t="n">
        <v>9</v>
      </c>
      <c r="G200" s="10" t="n">
        <v>21.26</v>
      </c>
      <c r="H200" s="10" t="n">
        <v>21.037</v>
      </c>
      <c r="I200" s="10" t="n"/>
      <c r="J200" s="10" t="n">
        <v>21.9</v>
      </c>
      <c r="K200" s="10" t="n">
        <v>21.26</v>
      </c>
      <c r="L200" s="10" t="n">
        <v>22.62</v>
      </c>
      <c r="M200" s="8" t="inlineStr">
        <is>
          <t>TAPAJOS</t>
        </is>
      </c>
      <c r="N200" s="10" t="n">
        <v>21.26</v>
      </c>
      <c r="O200" s="11">
        <f>N200/G200-1</f>
        <v/>
      </c>
      <c r="P200" s="12" t="inlineStr">
        <is>
          <t>OK (≤ últ. compra)</t>
        </is>
      </c>
      <c r="Q200" s="8" t="inlineStr"/>
    </row>
    <row r="201">
      <c r="A201" s="8" t="n">
        <v>640331</v>
      </c>
      <c r="B201" s="8" t="inlineStr">
        <is>
          <t>7897947610491</t>
        </is>
      </c>
      <c r="C201" s="8" t="inlineStr">
        <is>
          <t>MEGA DAY JUNIOR XPE FR 240ML</t>
        </is>
      </c>
      <c r="D201" s="9" t="n">
        <v>1</v>
      </c>
      <c r="E201" s="9" t="n">
        <v>1</v>
      </c>
      <c r="F201" s="9" t="n">
        <v>1</v>
      </c>
      <c r="G201" s="10" t="n">
        <v>8.4</v>
      </c>
      <c r="H201" s="10" t="n">
        <v>8.4</v>
      </c>
      <c r="I201" s="10" t="n"/>
      <c r="J201" s="10" t="n"/>
      <c r="K201" s="10" t="n"/>
      <c r="L201" s="10" t="n"/>
      <c r="M201" s="8" t="inlineStr">
        <is>
          <t>SEM COTAÇÃO</t>
        </is>
      </c>
      <c r="N201" s="10" t="n"/>
      <c r="O201" s="11" t="n"/>
      <c r="P201" s="8" t="inlineStr"/>
      <c r="Q201" s="8" t="inlineStr"/>
    </row>
    <row r="202">
      <c r="A202" s="8" t="n">
        <v>3223</v>
      </c>
      <c r="B202" s="8" t="inlineStr">
        <is>
          <t>7896023708626</t>
        </is>
      </c>
      <c r="C202" s="8" t="inlineStr">
        <is>
          <t>MELAGRIAO SPRAY 30ML EXTRA FORTE</t>
        </is>
      </c>
      <c r="D202" s="9" t="n">
        <v>1</v>
      </c>
      <c r="E202" s="9" t="n">
        <v>1</v>
      </c>
      <c r="F202" s="9" t="n">
        <v>1</v>
      </c>
      <c r="G202" s="10" t="n">
        <v>21.72</v>
      </c>
      <c r="H202" s="10" t="n">
        <v>17.18</v>
      </c>
      <c r="I202" s="10" t="n">
        <v>18.02</v>
      </c>
      <c r="J202" s="10" t="n"/>
      <c r="K202" s="10" t="n"/>
      <c r="L202" s="10" t="n">
        <v>19.38</v>
      </c>
      <c r="M202" s="8" t="inlineStr">
        <is>
          <t>EPAN</t>
        </is>
      </c>
      <c r="N202" s="10" t="n">
        <v>18.02</v>
      </c>
      <c r="O202" s="11">
        <f>N202/G202-1</f>
        <v/>
      </c>
      <c r="P202" s="12" t="inlineStr">
        <is>
          <t>OK (≤ últ. compra)</t>
        </is>
      </c>
      <c r="Q202" s="8" t="inlineStr"/>
    </row>
    <row r="203">
      <c r="A203" s="8" t="n">
        <v>548221</v>
      </c>
      <c r="B203" s="8" t="inlineStr">
        <is>
          <t>7896023719899</t>
        </is>
      </c>
      <c r="C203" s="8" t="inlineStr">
        <is>
          <t>MELAGRIÃO EXPECTORANTE CATARINENSE 150ML</t>
        </is>
      </c>
      <c r="D203" s="9" t="n">
        <v>1</v>
      </c>
      <c r="E203" s="9" t="n">
        <v>2</v>
      </c>
      <c r="F203" s="9" t="n">
        <v>2</v>
      </c>
      <c r="G203" s="10" t="n">
        <v>35.31</v>
      </c>
      <c r="H203" s="10" t="n">
        <v>13.135</v>
      </c>
      <c r="I203" s="10" t="n">
        <v>35.31</v>
      </c>
      <c r="J203" s="10" t="n"/>
      <c r="K203" s="10" t="n"/>
      <c r="L203" s="10" t="n">
        <v>17.46</v>
      </c>
      <c r="M203" s="8" t="inlineStr">
        <is>
          <t>NAZARIA</t>
        </is>
      </c>
      <c r="N203" s="10" t="n">
        <v>17.46</v>
      </c>
      <c r="O203" s="11">
        <f>N203/G203-1</f>
        <v/>
      </c>
      <c r="P203" s="12" t="inlineStr">
        <is>
          <t>OK (≤ últ. compra)</t>
        </is>
      </c>
      <c r="Q203" s="8" t="inlineStr"/>
    </row>
    <row r="204">
      <c r="A204" s="8" t="n">
        <v>626141</v>
      </c>
      <c r="B204" s="8" t="inlineStr">
        <is>
          <t>7891317011598</t>
        </is>
      </c>
      <c r="C204" s="8" t="inlineStr">
        <is>
          <t>MELOCOX ODT 15MG CX 10 COMP ORODISP</t>
        </is>
      </c>
      <c r="D204" s="9" t="n">
        <v>1</v>
      </c>
      <c r="E204" s="9" t="n">
        <v>2</v>
      </c>
      <c r="F204" s="9" t="n">
        <v>2</v>
      </c>
      <c r="G204" s="10" t="n">
        <v>34.7333333333333</v>
      </c>
      <c r="H204" s="10" t="n">
        <v>34.7333</v>
      </c>
      <c r="I204" s="10" t="n">
        <v>37.53</v>
      </c>
      <c r="J204" s="10" t="n"/>
      <c r="K204" s="10" t="n"/>
      <c r="L204" s="10" t="n">
        <v>37.2672</v>
      </c>
      <c r="M204" s="8" t="inlineStr">
        <is>
          <t>SEM COTAÇÃO</t>
        </is>
      </c>
      <c r="N204" s="10" t="n"/>
      <c r="O204" s="11" t="n"/>
      <c r="P204" s="8" t="inlineStr"/>
      <c r="Q204" s="8" t="inlineStr">
        <is>
          <t>sem estoque na Nazária; sem estoque no ePan</t>
        </is>
      </c>
    </row>
    <row r="205">
      <c r="A205" s="8" t="n">
        <v>663861</v>
      </c>
      <c r="B205" s="8" t="inlineStr">
        <is>
          <t>7891106916233</t>
        </is>
      </c>
      <c r="C205" s="8" t="inlineStr">
        <is>
          <t>MESIGYNA 50+5MG/ML C/1 SER PR+AG-REFERENCIA</t>
        </is>
      </c>
      <c r="D205" s="9" t="n">
        <v>1</v>
      </c>
      <c r="E205" s="9" t="n">
        <v>6</v>
      </c>
      <c r="F205" s="9" t="n">
        <v>6</v>
      </c>
      <c r="G205" s="10" t="n">
        <v>35.54</v>
      </c>
      <c r="H205" s="10" t="n">
        <v>29.545</v>
      </c>
      <c r="I205" s="10" t="n">
        <v>35.54</v>
      </c>
      <c r="J205" s="10" t="n"/>
      <c r="K205" s="10" t="n"/>
      <c r="L205" s="10" t="n">
        <v>36</v>
      </c>
      <c r="M205" s="8" t="inlineStr">
        <is>
          <t>EPAN</t>
        </is>
      </c>
      <c r="N205" s="10" t="n">
        <v>35.54</v>
      </c>
      <c r="O205" s="11">
        <f>N205/G205-1</f>
        <v/>
      </c>
      <c r="P205" s="12" t="inlineStr">
        <is>
          <t>OK (≤ últ. compra)</t>
        </is>
      </c>
      <c r="Q205" s="8" t="inlineStr">
        <is>
          <t>sem estoque na Nazária</t>
        </is>
      </c>
    </row>
    <row r="206">
      <c r="A206" s="8" t="n">
        <v>622911</v>
      </c>
      <c r="B206" s="8" t="inlineStr">
        <is>
          <t>020800750165</t>
        </is>
      </c>
      <c r="C206" s="8" t="inlineStr">
        <is>
          <t>METAMUCIL 0,562G PO PREP 10 ENV X 1 SACHE SB LARANJA</t>
        </is>
      </c>
      <c r="D206" s="9" t="n">
        <v>1</v>
      </c>
      <c r="E206" s="9" t="n">
        <v>2</v>
      </c>
      <c r="F206" s="9" t="n">
        <v>2</v>
      </c>
      <c r="G206" s="10" t="n">
        <v>54.15</v>
      </c>
      <c r="H206" s="10" t="n">
        <v>46.84</v>
      </c>
      <c r="I206" s="10" t="n"/>
      <c r="J206" s="10" t="n">
        <v>52.9</v>
      </c>
      <c r="K206" s="10" t="n"/>
      <c r="L206" s="10" t="n">
        <v>52.8724</v>
      </c>
      <c r="M206" s="8" t="inlineStr">
        <is>
          <t>NAZARIA</t>
        </is>
      </c>
      <c r="N206" s="10" t="n">
        <v>52.8724</v>
      </c>
      <c r="O206" s="11">
        <f>N206/G206-1</f>
        <v/>
      </c>
      <c r="P206" s="12" t="inlineStr">
        <is>
          <t>OK (≤ últ. compra)</t>
        </is>
      </c>
      <c r="Q206" s="8" t="inlineStr"/>
    </row>
    <row r="207">
      <c r="A207" s="8" t="n">
        <v>665551</v>
      </c>
      <c r="B207" s="8" t="inlineStr">
        <is>
          <t>00020800750158</t>
        </is>
      </c>
      <c r="C207" s="8" t="inlineStr">
        <is>
          <t>METAMUCIL SOLUVEL LARANJA 174G-OUTROS</t>
        </is>
      </c>
      <c r="D207" s="9" t="n">
        <v>1</v>
      </c>
      <c r="E207" s="9" t="n">
        <v>1</v>
      </c>
      <c r="F207" s="9" t="n">
        <v>1</v>
      </c>
      <c r="G207" s="10" t="n">
        <v>101.27</v>
      </c>
      <c r="H207" s="10" t="n">
        <v>82.09</v>
      </c>
      <c r="I207" s="10" t="n"/>
      <c r="J207" s="10" t="n"/>
      <c r="K207" s="10" t="n">
        <v>102</v>
      </c>
      <c r="L207" s="10" t="n">
        <v>101.9912</v>
      </c>
      <c r="M207" s="8" t="inlineStr">
        <is>
          <t>NAZARIA</t>
        </is>
      </c>
      <c r="N207" s="10" t="n">
        <v>101.9912</v>
      </c>
      <c r="O207" s="11">
        <f>N207/G207-1</f>
        <v/>
      </c>
      <c r="P207" s="13" t="inlineStr">
        <is>
          <t>ACIMA +0.7% (vs últ. compra)</t>
        </is>
      </c>
      <c r="Q207" s="8" t="inlineStr"/>
    </row>
    <row r="208">
      <c r="A208" s="8" t="n">
        <v>225321</v>
      </c>
      <c r="B208" s="8" t="inlineStr">
        <is>
          <t>7896004760995</t>
        </is>
      </c>
      <c r="C208" s="8" t="inlineStr">
        <is>
          <t>MIGRALIV CX 12 COMP</t>
        </is>
      </c>
      <c r="D208" s="9" t="n">
        <v>1</v>
      </c>
      <c r="E208" s="9" t="n">
        <v>1</v>
      </c>
      <c r="F208" s="9" t="n">
        <v>1</v>
      </c>
      <c r="G208" s="10" t="n">
        <v>12.36</v>
      </c>
      <c r="H208" s="10" t="n">
        <v>12.36</v>
      </c>
      <c r="I208" s="10" t="n"/>
      <c r="J208" s="10" t="n">
        <v>9.800000000000001</v>
      </c>
      <c r="K208" s="10" t="n"/>
      <c r="L208" s="10" t="n">
        <v>16.3104</v>
      </c>
      <c r="M208" s="8" t="inlineStr">
        <is>
          <t>SB LOG</t>
        </is>
      </c>
      <c r="N208" s="10" t="n">
        <v>9.800000000000001</v>
      </c>
      <c r="O208" s="11">
        <f>N208/G208-1</f>
        <v/>
      </c>
      <c r="P208" s="12" t="inlineStr">
        <is>
          <t>OK (≤ menor hist.)</t>
        </is>
      </c>
      <c r="Q208" s="8" t="inlineStr"/>
    </row>
    <row r="209">
      <c r="A209" s="8" t="n">
        <v>621241</v>
      </c>
      <c r="B209" s="8" t="inlineStr">
        <is>
          <t>7896920304334</t>
        </is>
      </c>
      <c r="C209" s="8" t="inlineStr">
        <is>
          <t>MILMUNE CONCENTRADO 120ML</t>
        </is>
      </c>
      <c r="D209" s="9" t="n">
        <v>1</v>
      </c>
      <c r="E209" s="9" t="n">
        <v>3</v>
      </c>
      <c r="F209" s="9" t="n">
        <v>3</v>
      </c>
      <c r="G209" s="10" t="n">
        <v>21.33</v>
      </c>
      <c r="H209" s="10" t="n">
        <v>21.33</v>
      </c>
      <c r="I209" s="10" t="n"/>
      <c r="J209" s="10" t="n"/>
      <c r="K209" s="10" t="n"/>
      <c r="L209" s="10" t="n"/>
      <c r="M209" s="8" t="inlineStr">
        <is>
          <t>SEM COTAÇÃO</t>
        </is>
      </c>
      <c r="N209" s="10" t="n"/>
      <c r="O209" s="11" t="n"/>
      <c r="P209" s="8" t="inlineStr"/>
      <c r="Q209" s="8" t="inlineStr"/>
    </row>
    <row r="210">
      <c r="A210" s="8" t="n">
        <v>557961</v>
      </c>
      <c r="B210" s="8" t="inlineStr">
        <is>
          <t>7896920304037</t>
        </is>
      </c>
      <c r="C210" s="8" t="inlineStr">
        <is>
          <t>MILMUNE CONCENTRADO 30CP</t>
        </is>
      </c>
      <c r="D210" s="9" t="n">
        <v>1</v>
      </c>
      <c r="E210" s="9" t="n">
        <v>5</v>
      </c>
      <c r="F210" s="9" t="n">
        <v>5</v>
      </c>
      <c r="G210" s="10" t="n">
        <v>37.65</v>
      </c>
      <c r="H210" s="10" t="n">
        <v>34.22</v>
      </c>
      <c r="I210" s="10" t="n"/>
      <c r="J210" s="10" t="n"/>
      <c r="K210" s="10" t="n"/>
      <c r="L210" s="10" t="n"/>
      <c r="M210" s="8" t="inlineStr">
        <is>
          <t>SEM COTAÇÃO</t>
        </is>
      </c>
      <c r="N210" s="10" t="n"/>
      <c r="O210" s="11" t="n"/>
      <c r="P210" s="8" t="inlineStr"/>
      <c r="Q210" s="8" t="inlineStr"/>
    </row>
    <row r="211">
      <c r="A211" s="8" t="n">
        <v>582261</v>
      </c>
      <c r="B211" s="8" t="inlineStr">
        <is>
          <t>7891317015176</t>
        </is>
      </c>
      <c r="C211" s="8" t="inlineStr">
        <is>
          <t>MINILAX 714,0+7,70MG/G SOL RET CAIXA C/ 7</t>
        </is>
      </c>
      <c r="D211" s="9" t="n">
        <v>1</v>
      </c>
      <c r="E211" s="9" t="n">
        <v>5</v>
      </c>
      <c r="F211" s="9" t="n">
        <v>5</v>
      </c>
      <c r="G211" s="10" t="n">
        <v>6.35714285714286</v>
      </c>
      <c r="H211" s="10" t="n">
        <v>5.5567</v>
      </c>
      <c r="I211" s="10" t="n"/>
      <c r="J211" s="10" t="n">
        <v>44.7</v>
      </c>
      <c r="K211" s="10" t="n">
        <v>43.28</v>
      </c>
      <c r="L211" s="10" t="n">
        <v>44.1984</v>
      </c>
      <c r="M211" s="8" t="inlineStr">
        <is>
          <t>TAPAJOS</t>
        </is>
      </c>
      <c r="N211" s="10" t="n">
        <v>43.28</v>
      </c>
      <c r="O211" s="11">
        <f>N211/G211-1</f>
        <v/>
      </c>
      <c r="P211" s="13" t="inlineStr">
        <is>
          <t>ACIMA +580.8% (vs últ. compra)</t>
        </is>
      </c>
      <c r="Q211" s="8" t="inlineStr"/>
    </row>
    <row r="212">
      <c r="A212" s="8" t="n">
        <v>133581</v>
      </c>
      <c r="B212" s="8" t="inlineStr">
        <is>
          <t>7896637023665</t>
        </is>
      </c>
      <c r="C212" s="8" t="inlineStr">
        <is>
          <t>MIOSAN 10MG CX 10 COMP REV</t>
        </is>
      </c>
      <c r="D212" s="9" t="n">
        <v>1</v>
      </c>
      <c r="E212" s="9" t="n">
        <v>1</v>
      </c>
      <c r="F212" s="9" t="n">
        <v>1</v>
      </c>
      <c r="G212" s="10" t="n">
        <v>12.4416666666667</v>
      </c>
      <c r="H212" s="10" t="n">
        <v>9.375</v>
      </c>
      <c r="I212" s="10" t="n">
        <v>12.44</v>
      </c>
      <c r="J212" s="10" t="n">
        <v>16.8</v>
      </c>
      <c r="K212" s="10" t="n">
        <v>16.31</v>
      </c>
      <c r="L212" s="10" t="n">
        <v>17.35</v>
      </c>
      <c r="M212" s="8" t="inlineStr">
        <is>
          <t>EPAN</t>
        </is>
      </c>
      <c r="N212" s="10" t="n">
        <v>12.44</v>
      </c>
      <c r="O212" s="11">
        <f>N212/G212-1</f>
        <v/>
      </c>
      <c r="P212" s="12" t="inlineStr">
        <is>
          <t>OK (≤ últ. compra)</t>
        </is>
      </c>
      <c r="Q212" s="8" t="inlineStr"/>
    </row>
    <row r="213">
      <c r="A213" s="8" t="n">
        <v>134741</v>
      </c>
      <c r="B213" s="8" t="inlineStr">
        <is>
          <t>7896637025102</t>
        </is>
      </c>
      <c r="C213" s="8" t="inlineStr">
        <is>
          <t>MIOSAN CAF 10+60MG CX 15 COMP REV</t>
        </is>
      </c>
      <c r="D213" s="9" t="n">
        <v>1</v>
      </c>
      <c r="E213" s="9" t="n">
        <v>1</v>
      </c>
      <c r="F213" s="9" t="n">
        <v>1</v>
      </c>
      <c r="G213" s="10" t="n">
        <v>25.27</v>
      </c>
      <c r="H213" s="10" t="n">
        <v>21.505</v>
      </c>
      <c r="I213" s="10" t="n"/>
      <c r="J213" s="10" t="n">
        <v>26.1</v>
      </c>
      <c r="K213" s="10" t="n">
        <v>25.27</v>
      </c>
      <c r="L213" s="10" t="n">
        <v>26.88</v>
      </c>
      <c r="M213" s="8" t="inlineStr">
        <is>
          <t>TAPAJOS</t>
        </is>
      </c>
      <c r="N213" s="10" t="n">
        <v>25.27</v>
      </c>
      <c r="O213" s="11">
        <f>N213/G213-1</f>
        <v/>
      </c>
      <c r="P213" s="12" t="inlineStr">
        <is>
          <t>OK (≤ últ. compra)</t>
        </is>
      </c>
      <c r="Q213" s="8" t="inlineStr"/>
    </row>
    <row r="214">
      <c r="A214" s="8" t="n">
        <v>134701</v>
      </c>
      <c r="B214" s="8" t="inlineStr">
        <is>
          <t>7896637025096</t>
        </is>
      </c>
      <c r="C214" s="8" t="inlineStr">
        <is>
          <t>MIOSAN CAF 5+30MG CX 15 COMP REV</t>
        </is>
      </c>
      <c r="D214" s="9" t="n">
        <v>1</v>
      </c>
      <c r="E214" s="9" t="n">
        <v>2</v>
      </c>
      <c r="F214" s="9" t="n">
        <v>2</v>
      </c>
      <c r="G214" s="10" t="n">
        <v>22.71</v>
      </c>
      <c r="H214" s="10" t="n">
        <v>19.3267</v>
      </c>
      <c r="I214" s="10" t="n"/>
      <c r="J214" s="10" t="n">
        <v>23.4</v>
      </c>
      <c r="K214" s="10" t="n">
        <v>22.71</v>
      </c>
      <c r="L214" s="10" t="n">
        <v>24.16</v>
      </c>
      <c r="M214" s="8" t="inlineStr">
        <is>
          <t>TAPAJOS</t>
        </is>
      </c>
      <c r="N214" s="10" t="n">
        <v>22.71</v>
      </c>
      <c r="O214" s="11">
        <f>N214/G214-1</f>
        <v/>
      </c>
      <c r="P214" s="12" t="inlineStr">
        <is>
          <t>OK (≤ últ. compra)</t>
        </is>
      </c>
      <c r="Q214" s="8" t="inlineStr"/>
    </row>
    <row r="215">
      <c r="A215" s="8" t="n">
        <v>293561</v>
      </c>
      <c r="B215" s="8" t="inlineStr">
        <is>
          <t>7896676435214</t>
        </is>
      </c>
      <c r="C215" s="8" t="inlineStr">
        <is>
          <t>MIRUGELL 0,4+0,3+0,1% SOL OFT FR 5ML</t>
        </is>
      </c>
      <c r="D215" s="9" t="n">
        <v>1</v>
      </c>
      <c r="E215" s="9" t="n">
        <v>2</v>
      </c>
      <c r="F215" s="9" t="n">
        <v>2</v>
      </c>
      <c r="G215" s="10" t="n">
        <v>19.8</v>
      </c>
      <c r="H215" s="10" t="n">
        <v>18.33</v>
      </c>
      <c r="I215" s="10" t="n"/>
      <c r="J215" s="10" t="n"/>
      <c r="K215" s="10" t="n">
        <v>19.8</v>
      </c>
      <c r="L215" s="10" t="n">
        <v>20.31325</v>
      </c>
      <c r="M215" s="8" t="inlineStr">
        <is>
          <t>TAPAJOS</t>
        </is>
      </c>
      <c r="N215" s="10" t="n">
        <v>19.8</v>
      </c>
      <c r="O215" s="11">
        <f>N215/G215-1</f>
        <v/>
      </c>
      <c r="P215" s="12" t="inlineStr">
        <is>
          <t>OK (≤ últ. compra)</t>
        </is>
      </c>
      <c r="Q215" s="8" t="inlineStr"/>
    </row>
    <row r="216">
      <c r="A216" s="8" t="n">
        <v>351361</v>
      </c>
      <c r="B216" s="8" t="inlineStr">
        <is>
          <t>7897851250585</t>
        </is>
      </c>
      <c r="C216" s="8" t="inlineStr">
        <is>
          <t>MONOCORDIL 40MG CX 30 COMP</t>
        </is>
      </c>
      <c r="D216" s="9" t="n">
        <v>1</v>
      </c>
      <c r="E216" s="9" t="n">
        <v>1</v>
      </c>
      <c r="F216" s="9" t="n">
        <v>1</v>
      </c>
      <c r="G216" s="10" t="n">
        <v>25.57</v>
      </c>
      <c r="H216" s="10" t="n">
        <v>25.57</v>
      </c>
      <c r="I216" s="10" t="n"/>
      <c r="J216" s="10" t="n">
        <v>29.7</v>
      </c>
      <c r="K216" s="10" t="n"/>
      <c r="L216" s="10" t="n">
        <v>30.59</v>
      </c>
      <c r="M216" s="8" t="inlineStr">
        <is>
          <t>SB LOG</t>
        </is>
      </c>
      <c r="N216" s="10" t="n">
        <v>29.7</v>
      </c>
      <c r="O216" s="11">
        <f>N216/G216-1</f>
        <v/>
      </c>
      <c r="P216" s="13" t="inlineStr">
        <is>
          <t>ACIMA +16.2% (vs últ. compra)</t>
        </is>
      </c>
      <c r="Q216" s="8" t="inlineStr"/>
    </row>
    <row r="217">
      <c r="A217" s="8" t="n">
        <v>256161</v>
      </c>
      <c r="B217" s="8" t="inlineStr">
        <is>
          <t>7898074614178</t>
        </is>
      </c>
      <c r="C217" s="8" t="inlineStr">
        <is>
          <t>MONURIL 5,631G GRAN ENV 8G</t>
        </is>
      </c>
      <c r="D217" s="9" t="n">
        <v>1</v>
      </c>
      <c r="E217" s="9" t="n">
        <v>1</v>
      </c>
      <c r="F217" s="9" t="n">
        <v>1</v>
      </c>
      <c r="G217" s="10" t="n">
        <v>69.98999999999999</v>
      </c>
      <c r="H217" s="10" t="n">
        <v>48.905</v>
      </c>
      <c r="I217" s="10" t="n">
        <v>52.59</v>
      </c>
      <c r="J217" s="10" t="n"/>
      <c r="K217" s="10" t="n"/>
      <c r="L217" s="10" t="n">
        <v>56.99</v>
      </c>
      <c r="M217" s="8" t="inlineStr">
        <is>
          <t>EPAN</t>
        </is>
      </c>
      <c r="N217" s="10" t="n">
        <v>52.59</v>
      </c>
      <c r="O217" s="11">
        <f>N217/G217-1</f>
        <v/>
      </c>
      <c r="P217" s="12" t="inlineStr">
        <is>
          <t>OK (≤ últ. compra)</t>
        </is>
      </c>
      <c r="Q217" s="8" t="inlineStr"/>
    </row>
    <row r="218">
      <c r="A218" s="8" t="n">
        <v>229001</v>
      </c>
      <c r="B218" s="8" t="inlineStr">
        <is>
          <t>7896212429738</t>
        </is>
      </c>
      <c r="C218" s="8" t="inlineStr">
        <is>
          <t>MOTILIUM 10MG CX 30 COMP</t>
        </is>
      </c>
      <c r="D218" s="9" t="n">
        <v>1</v>
      </c>
      <c r="E218" s="9" t="n">
        <v>4</v>
      </c>
      <c r="F218" s="9" t="n">
        <v>4</v>
      </c>
      <c r="G218" s="10" t="n">
        <v>28.63</v>
      </c>
      <c r="H218" s="10" t="n">
        <v>27.02</v>
      </c>
      <c r="I218" s="10" t="n"/>
      <c r="J218" s="10" t="n"/>
      <c r="K218" s="10" t="n"/>
      <c r="L218" s="10" t="n"/>
      <c r="M218" s="8" t="inlineStr">
        <is>
          <t>SEM COTAÇÃO</t>
        </is>
      </c>
      <c r="N218" s="10" t="n"/>
      <c r="O218" s="11" t="n"/>
      <c r="P218" s="8" t="inlineStr"/>
      <c r="Q218" s="8" t="inlineStr"/>
    </row>
    <row r="219">
      <c r="A219" s="8" t="n">
        <v>133441</v>
      </c>
      <c r="B219" s="8" t="inlineStr">
        <is>
          <t>7891317432362</t>
        </is>
      </c>
      <c r="C219" s="8" t="inlineStr">
        <is>
          <t>MUSCULARE 10MG CX 15 COMP REV</t>
        </is>
      </c>
      <c r="D219" s="9" t="n">
        <v>1</v>
      </c>
      <c r="E219" s="9" t="n">
        <v>1</v>
      </c>
      <c r="F219" s="9" t="n">
        <v>1</v>
      </c>
      <c r="G219" s="10" t="n">
        <v>16.48</v>
      </c>
      <c r="H219" s="10" t="n">
        <v>15.595</v>
      </c>
      <c r="I219" s="10" t="n"/>
      <c r="J219" s="10" t="n"/>
      <c r="K219" s="10" t="n">
        <v>16.48</v>
      </c>
      <c r="L219" s="10" t="n">
        <v>16.8192</v>
      </c>
      <c r="M219" s="8" t="inlineStr">
        <is>
          <t>TAPAJOS</t>
        </is>
      </c>
      <c r="N219" s="10" t="n">
        <v>16.48</v>
      </c>
      <c r="O219" s="11">
        <f>N219/G219-1</f>
        <v/>
      </c>
      <c r="P219" s="12" t="inlineStr">
        <is>
          <t>OK (≤ últ. compra)</t>
        </is>
      </c>
      <c r="Q219" s="8" t="inlineStr"/>
    </row>
    <row r="220">
      <c r="A220" s="8" t="n">
        <v>328301</v>
      </c>
      <c r="B220" s="8" t="inlineStr">
        <is>
          <t>7896094201637</t>
        </is>
      </c>
      <c r="C220" s="8" t="inlineStr">
        <is>
          <t>MUVINLAX CX 20 SACH X 14G</t>
        </is>
      </c>
      <c r="D220" s="9" t="n">
        <v>1</v>
      </c>
      <c r="E220" s="9" t="n">
        <v>4</v>
      </c>
      <c r="F220" s="9" t="n">
        <v>4</v>
      </c>
      <c r="G220" s="10" t="n">
        <v>55.41</v>
      </c>
      <c r="H220" s="10" t="n">
        <v>41.45</v>
      </c>
      <c r="I220" s="10" t="n"/>
      <c r="J220" s="10" t="n"/>
      <c r="K220" s="10" t="n"/>
      <c r="L220" s="10" t="n">
        <v>53.3209</v>
      </c>
      <c r="M220" s="8" t="inlineStr">
        <is>
          <t>SEM COTAÇÃO</t>
        </is>
      </c>
      <c r="N220" s="10" t="n"/>
      <c r="O220" s="11" t="n"/>
      <c r="P220" s="8" t="inlineStr"/>
      <c r="Q220" s="8" t="inlineStr">
        <is>
          <t>sem estoque na Nazária</t>
        </is>
      </c>
    </row>
    <row r="221">
      <c r="A221" s="8" t="n">
        <v>611031</v>
      </c>
      <c r="B221" s="8" t="inlineStr">
        <is>
          <t>4015630064205</t>
        </is>
      </c>
      <c r="C221" s="8" t="inlineStr">
        <is>
          <t>N ACCU-CHEK ACTIVE 10TIRAS   ROCH %DN:0.00</t>
        </is>
      </c>
      <c r="D221" s="9" t="n">
        <v>1</v>
      </c>
      <c r="E221" s="9" t="n">
        <v>1</v>
      </c>
      <c r="F221" s="9" t="n">
        <v>1</v>
      </c>
      <c r="G221" s="10" t="n">
        <v>29.16</v>
      </c>
      <c r="H221" s="10" t="n">
        <v>29.16</v>
      </c>
      <c r="I221" s="10" t="n"/>
      <c r="J221" s="10" t="n"/>
      <c r="K221" s="10" t="n"/>
      <c r="L221" s="10" t="n">
        <v>29.89</v>
      </c>
      <c r="M221" s="8" t="inlineStr">
        <is>
          <t>SEM COTAÇÃO</t>
        </is>
      </c>
      <c r="N221" s="10" t="n"/>
      <c r="O221" s="11" t="n"/>
      <c r="P221" s="8" t="inlineStr"/>
      <c r="Q221" s="8" t="inlineStr">
        <is>
          <t>sem estoque na Nazária</t>
        </is>
      </c>
    </row>
    <row r="222">
      <c r="A222" s="8" t="n">
        <v>579461</v>
      </c>
      <c r="B222" s="8" t="inlineStr"/>
      <c r="C222" s="8" t="inlineStr">
        <is>
          <t>NALDECON MULTI 800+20MG CARTELA C/ 4 CP</t>
        </is>
      </c>
      <c r="D222" s="9" t="n">
        <v>10</v>
      </c>
      <c r="E222" s="9" t="n">
        <v>1</v>
      </c>
      <c r="F222" s="9" t="n">
        <v>10</v>
      </c>
      <c r="G222" s="10" t="n">
        <v>6.96696</v>
      </c>
      <c r="H222" s="10" t="n">
        <v>6.8011</v>
      </c>
      <c r="I222" s="10" t="n"/>
      <c r="J222" s="10" t="n"/>
      <c r="K222" s="10" t="n"/>
      <c r="L222" s="10" t="n"/>
      <c r="M222" s="8" t="inlineStr">
        <is>
          <t>SEM COTAÇÃO</t>
        </is>
      </c>
      <c r="N222" s="10" t="n"/>
      <c r="O222" s="11" t="n"/>
      <c r="P222" s="8" t="inlineStr"/>
      <c r="Q222" s="8" t="inlineStr"/>
    </row>
    <row r="223">
      <c r="A223" s="8" t="n">
        <v>416901</v>
      </c>
      <c r="B223" s="8" t="inlineStr">
        <is>
          <t>7896094206342</t>
        </is>
      </c>
      <c r="C223" s="8" t="inlineStr">
        <is>
          <t>NAPRIX 2,5MG BL AL AL CX 30 COMP</t>
        </is>
      </c>
      <c r="D223" s="9" t="n">
        <v>1</v>
      </c>
      <c r="E223" s="9" t="n">
        <v>1</v>
      </c>
      <c r="F223" s="9" t="n">
        <v>1</v>
      </c>
      <c r="G223" s="10" t="n">
        <v>58.95</v>
      </c>
      <c r="H223" s="10" t="n">
        <v>58.95</v>
      </c>
      <c r="I223" s="10" t="n"/>
      <c r="J223" s="10" t="n">
        <v>63.9</v>
      </c>
      <c r="K223" s="10" t="n"/>
      <c r="L223" s="10" t="n">
        <v>63.8939</v>
      </c>
      <c r="M223" s="8" t="inlineStr">
        <is>
          <t>NAZARIA</t>
        </is>
      </c>
      <c r="N223" s="10" t="n">
        <v>63.8939</v>
      </c>
      <c r="O223" s="11">
        <f>N223/G223-1</f>
        <v/>
      </c>
      <c r="P223" s="13" t="inlineStr">
        <is>
          <t>ACIMA +8.4% (vs últ. compra)</t>
        </is>
      </c>
      <c r="Q223" s="8" t="inlineStr"/>
    </row>
    <row r="224">
      <c r="A224" s="8" t="n">
        <v>582301</v>
      </c>
      <c r="B224" s="8" t="inlineStr">
        <is>
          <t>7897337716550</t>
        </is>
      </c>
      <c r="C224" s="8" t="inlineStr">
        <is>
          <t>NASONEX 0,5MG/G SUS NAS FR SPR 60 ATOMIZ</t>
        </is>
      </c>
      <c r="D224" s="9" t="n">
        <v>1</v>
      </c>
      <c r="E224" s="9" t="n">
        <v>1</v>
      </c>
      <c r="F224" s="9" t="n">
        <v>1</v>
      </c>
      <c r="G224" s="10" t="n">
        <v>37.12</v>
      </c>
      <c r="H224" s="10" t="n">
        <v>33.325</v>
      </c>
      <c r="I224" s="10" t="n">
        <v>37.12</v>
      </c>
      <c r="J224" s="10" t="n"/>
      <c r="K224" s="10" t="n"/>
      <c r="L224" s="10" t="n">
        <v>35.7213</v>
      </c>
      <c r="M224" s="8" t="inlineStr">
        <is>
          <t>NAZARIA</t>
        </is>
      </c>
      <c r="N224" s="10" t="n">
        <v>35.7213</v>
      </c>
      <c r="O224" s="11">
        <f>N224/G224-1</f>
        <v/>
      </c>
      <c r="P224" s="12" t="inlineStr">
        <is>
          <t>OK (≤ últ. compra)</t>
        </is>
      </c>
      <c r="Q224" s="8" t="inlineStr"/>
    </row>
    <row r="225">
      <c r="A225" s="8" t="n">
        <v>237461</v>
      </c>
      <c r="B225" s="8" t="inlineStr">
        <is>
          <t>7896094201460</t>
        </is>
      </c>
      <c r="C225" s="8" t="inlineStr">
        <is>
          <t>NATIFA 1MG CX 28 COMP REV</t>
        </is>
      </c>
      <c r="D225" s="9" t="n">
        <v>1</v>
      </c>
      <c r="E225" s="9" t="n">
        <v>1</v>
      </c>
      <c r="F225" s="9" t="n">
        <v>1</v>
      </c>
      <c r="G225" s="10" t="n">
        <v>58.3</v>
      </c>
      <c r="H225" s="10" t="n">
        <v>54.075</v>
      </c>
      <c r="I225" s="10" t="n"/>
      <c r="J225" s="10" t="n">
        <v>56.1</v>
      </c>
      <c r="K225" s="10" t="n"/>
      <c r="L225" s="10" t="n">
        <v>56.0854</v>
      </c>
      <c r="M225" s="8" t="inlineStr">
        <is>
          <t>NAZARIA</t>
        </is>
      </c>
      <c r="N225" s="10" t="n">
        <v>56.0854</v>
      </c>
      <c r="O225" s="11">
        <f>N225/G225-1</f>
        <v/>
      </c>
      <c r="P225" s="12" t="inlineStr">
        <is>
          <t>OK (≤ últ. compra)</t>
        </is>
      </c>
      <c r="Q225" s="8" t="inlineStr"/>
    </row>
    <row r="226">
      <c r="A226" s="8" t="n">
        <v>644711</v>
      </c>
      <c r="B226" s="8" t="inlineStr">
        <is>
          <t>7891010254025</t>
        </is>
      </c>
      <c r="C226" s="8" t="inlineStr">
        <is>
          <t>NEOS MINESOL COR/ROS FPS70 120ML</t>
        </is>
      </c>
      <c r="D226" s="9" t="n">
        <v>1</v>
      </c>
      <c r="E226" s="9" t="n">
        <v>1</v>
      </c>
      <c r="F226" s="9" t="n">
        <v>1</v>
      </c>
      <c r="G226" s="10" t="n">
        <v>82.5275</v>
      </c>
      <c r="H226" s="10" t="n">
        <v>82.5275</v>
      </c>
      <c r="I226" s="10" t="n"/>
      <c r="J226" s="10" t="n"/>
      <c r="K226" s="10" t="n"/>
      <c r="L226" s="10" t="n">
        <v>127.48</v>
      </c>
      <c r="M226" s="8" t="inlineStr">
        <is>
          <t>NAZARIA</t>
        </is>
      </c>
      <c r="N226" s="10" t="n">
        <v>127.48</v>
      </c>
      <c r="O226" s="11">
        <f>N226/G226-1</f>
        <v/>
      </c>
      <c r="P226" s="13" t="inlineStr">
        <is>
          <t>ACIMA +54.5% (vs últ. compra)</t>
        </is>
      </c>
      <c r="Q226" s="8" t="inlineStr"/>
    </row>
    <row r="227">
      <c r="A227" s="8" t="n">
        <v>669601</v>
      </c>
      <c r="B227" s="8" t="inlineStr">
        <is>
          <t>7896046304126</t>
        </is>
      </c>
      <c r="C227" s="8" t="inlineStr">
        <is>
          <t>NEOVITE MAX 30CAP BLPA</t>
        </is>
      </c>
      <c r="D227" s="9" t="n">
        <v>1</v>
      </c>
      <c r="E227" s="9" t="n">
        <v>1</v>
      </c>
      <c r="F227" s="9" t="n">
        <v>1</v>
      </c>
      <c r="G227" s="10" t="n">
        <v>81.84</v>
      </c>
      <c r="H227" s="10" t="n">
        <v>81.84</v>
      </c>
      <c r="I227" s="10" t="n"/>
      <c r="J227" s="10" t="n"/>
      <c r="K227" s="10" t="n"/>
      <c r="L227" s="10" t="n">
        <v>156.6322</v>
      </c>
      <c r="M227" s="8" t="inlineStr">
        <is>
          <t>NAZARIA</t>
        </is>
      </c>
      <c r="N227" s="10" t="n">
        <v>156.6322</v>
      </c>
      <c r="O227" s="11">
        <f>N227/G227-1</f>
        <v/>
      </c>
      <c r="P227" s="13" t="inlineStr">
        <is>
          <t>ACIMA +91.4% (vs últ. compra)</t>
        </is>
      </c>
      <c r="Q227" s="8" t="inlineStr"/>
    </row>
    <row r="228">
      <c r="A228" s="8" t="n">
        <v>588721</v>
      </c>
      <c r="B228" s="8" t="inlineStr">
        <is>
          <t>7891045031257</t>
        </is>
      </c>
      <c r="C228" s="8" t="inlineStr">
        <is>
          <t>NESTLE MATERNA FR 30 COMP</t>
        </is>
      </c>
      <c r="D228" s="9" t="n">
        <v>1</v>
      </c>
      <c r="E228" s="9" t="n">
        <v>1</v>
      </c>
      <c r="F228" s="9" t="n">
        <v>1</v>
      </c>
      <c r="G228" s="10" t="n">
        <v>58.1583333333333</v>
      </c>
      <c r="H228" s="10" t="n">
        <v>50.575</v>
      </c>
      <c r="I228" s="10" t="n">
        <v>52.41</v>
      </c>
      <c r="J228" s="10" t="n"/>
      <c r="K228" s="10" t="n"/>
      <c r="L228" s="10" t="n">
        <v>69.09999999999999</v>
      </c>
      <c r="M228" s="8" t="inlineStr">
        <is>
          <t>EPAN</t>
        </is>
      </c>
      <c r="N228" s="10" t="n">
        <v>52.41</v>
      </c>
      <c r="O228" s="11">
        <f>N228/G228-1</f>
        <v/>
      </c>
      <c r="P228" s="12" t="inlineStr">
        <is>
          <t>OK (≤ últ. compra)</t>
        </is>
      </c>
      <c r="Q228" s="8" t="inlineStr"/>
    </row>
    <row r="229">
      <c r="A229" s="8" t="n">
        <v>613781</v>
      </c>
      <c r="B229" s="8" t="inlineStr">
        <is>
          <t>7891010249106</t>
        </is>
      </c>
      <c r="C229" s="8" t="inlineStr">
        <is>
          <t>NEUT SUN FRESH FPS90 200ML</t>
        </is>
      </c>
      <c r="D229" s="9" t="n">
        <v>1</v>
      </c>
      <c r="E229" s="9" t="n">
        <v>3</v>
      </c>
      <c r="F229" s="9" t="n">
        <v>3</v>
      </c>
      <c r="G229" s="10" t="n">
        <v>76.91833333333329</v>
      </c>
      <c r="H229" s="10" t="n">
        <v>76.9183</v>
      </c>
      <c r="I229" s="10" t="n"/>
      <c r="J229" s="10" t="n"/>
      <c r="K229" s="10" t="n"/>
      <c r="L229" s="10" t="n">
        <v>120.19</v>
      </c>
      <c r="M229" s="8" t="inlineStr">
        <is>
          <t>NAZARIA</t>
        </is>
      </c>
      <c r="N229" s="10" t="n">
        <v>120.19</v>
      </c>
      <c r="O229" s="11">
        <f>N229/G229-1</f>
        <v/>
      </c>
      <c r="P229" s="13" t="inlineStr">
        <is>
          <t>ACIMA +56.3% (vs últ. compra)</t>
        </is>
      </c>
      <c r="Q229" s="8" t="inlineStr"/>
    </row>
    <row r="230">
      <c r="A230" s="8" t="n">
        <v>358281</v>
      </c>
      <c r="B230" s="8" t="inlineStr">
        <is>
          <t>7894916500548</t>
        </is>
      </c>
      <c r="C230" s="8" t="inlineStr">
        <is>
          <t>NEUTROFER 150MG FR 30 COMP</t>
        </is>
      </c>
      <c r="D230" s="9" t="n">
        <v>1</v>
      </c>
      <c r="E230" s="9" t="n">
        <v>2</v>
      </c>
      <c r="F230" s="9" t="n">
        <v>2</v>
      </c>
      <c r="G230" s="10" t="n">
        <v>26.435</v>
      </c>
      <c r="H230" s="10" t="n">
        <v>24.29</v>
      </c>
      <c r="I230" s="10" t="n">
        <v>26.44</v>
      </c>
      <c r="J230" s="10" t="n">
        <v>26.8</v>
      </c>
      <c r="K230" s="10" t="n">
        <v>25.99</v>
      </c>
      <c r="L230" s="10" t="n">
        <v>26.544</v>
      </c>
      <c r="M230" s="8" t="inlineStr">
        <is>
          <t>TAPAJOS</t>
        </is>
      </c>
      <c r="N230" s="10" t="n">
        <v>25.99</v>
      </c>
      <c r="O230" s="11">
        <f>N230/G230-1</f>
        <v/>
      </c>
      <c r="P230" s="12" t="inlineStr">
        <is>
          <t>OK (≤ últ. compra)</t>
        </is>
      </c>
      <c r="Q230" s="8" t="inlineStr"/>
    </row>
    <row r="231">
      <c r="A231" s="8" t="n">
        <v>358341</v>
      </c>
      <c r="B231" s="8" t="inlineStr">
        <is>
          <t>7894916500296</t>
        </is>
      </c>
      <c r="C231" s="8" t="inlineStr">
        <is>
          <t>NEUTROFER 250MG SOL FR GTS 30ML</t>
        </is>
      </c>
      <c r="D231" s="9" t="n">
        <v>1</v>
      </c>
      <c r="E231" s="9" t="n">
        <v>1</v>
      </c>
      <c r="F231" s="9" t="n">
        <v>1</v>
      </c>
      <c r="G231" s="10" t="n">
        <v>46.96</v>
      </c>
      <c r="H231" s="10" t="n">
        <v>44.3433</v>
      </c>
      <c r="I231" s="10" t="n"/>
      <c r="J231" s="10" t="n">
        <v>49</v>
      </c>
      <c r="K231" s="10" t="n">
        <v>47.46</v>
      </c>
      <c r="L231" s="10" t="n">
        <v>48.47040000000001</v>
      </c>
      <c r="M231" s="8" t="inlineStr">
        <is>
          <t>TAPAJOS</t>
        </is>
      </c>
      <c r="N231" s="10" t="n">
        <v>47.46</v>
      </c>
      <c r="O231" s="11">
        <f>N231/G231-1</f>
        <v/>
      </c>
      <c r="P231" s="13" t="inlineStr">
        <is>
          <t>ACIMA +1.1% (vs últ. compra)</t>
        </is>
      </c>
      <c r="Q231" s="8" t="inlineStr"/>
    </row>
    <row r="232">
      <c r="A232" s="8" t="n">
        <v>358321</v>
      </c>
      <c r="B232" s="8" t="inlineStr">
        <is>
          <t>7894916500333</t>
        </is>
      </c>
      <c r="C232" s="8" t="inlineStr">
        <is>
          <t>NEUTROFER 300MG FR 30 COMP</t>
        </is>
      </c>
      <c r="D232" s="9" t="n">
        <v>1</v>
      </c>
      <c r="E232" s="9" t="n">
        <v>2</v>
      </c>
      <c r="F232" s="9" t="n">
        <v>2</v>
      </c>
      <c r="G232" s="10" t="n">
        <v>45.04</v>
      </c>
      <c r="H232" s="10" t="n">
        <v>44.905</v>
      </c>
      <c r="I232" s="10" t="n">
        <v>46.31</v>
      </c>
      <c r="J232" s="10" t="n">
        <v>47</v>
      </c>
      <c r="K232" s="10" t="n"/>
      <c r="L232" s="10" t="n">
        <v>46.4928</v>
      </c>
      <c r="M232" s="8" t="inlineStr">
        <is>
          <t>NAZARIA</t>
        </is>
      </c>
      <c r="N232" s="10" t="n">
        <v>46.4928</v>
      </c>
      <c r="O232" s="11">
        <f>N232/G232-1</f>
        <v/>
      </c>
      <c r="P232" s="13" t="inlineStr">
        <is>
          <t>ACIMA +3.2% (vs últ. compra)</t>
        </is>
      </c>
      <c r="Q232" s="8" t="inlineStr">
        <is>
          <t>sem estoque no ePan</t>
        </is>
      </c>
    </row>
    <row r="233">
      <c r="A233" s="8" t="n">
        <v>358301</v>
      </c>
      <c r="B233" s="8" t="inlineStr">
        <is>
          <t>7894916500272</t>
        </is>
      </c>
      <c r="C233" s="8" t="inlineStr">
        <is>
          <t>NEUTROFER 500MG FR 30 COMP</t>
        </is>
      </c>
      <c r="D233" s="9" t="n">
        <v>1</v>
      </c>
      <c r="E233" s="9" t="n">
        <v>1</v>
      </c>
      <c r="F233" s="9" t="n">
        <v>1</v>
      </c>
      <c r="G233" s="10" t="n">
        <v>67.05</v>
      </c>
      <c r="H233" s="10" t="n">
        <v>66.84999999999999</v>
      </c>
      <c r="I233" s="10" t="n"/>
      <c r="J233" s="10" t="n">
        <v>69.90000000000001</v>
      </c>
      <c r="K233" s="10" t="n"/>
      <c r="L233" s="10" t="n">
        <v>69.21599999999999</v>
      </c>
      <c r="M233" s="8" t="inlineStr">
        <is>
          <t>NAZARIA</t>
        </is>
      </c>
      <c r="N233" s="10" t="n">
        <v>69.21599999999999</v>
      </c>
      <c r="O233" s="11">
        <f>N233/G233-1</f>
        <v/>
      </c>
      <c r="P233" s="13" t="inlineStr">
        <is>
          <t>ACIMA +3.2% (vs últ. compra)</t>
        </is>
      </c>
      <c r="Q233" s="8" t="inlineStr"/>
    </row>
    <row r="234">
      <c r="A234" s="8" t="n">
        <v>606961</v>
      </c>
      <c r="B234" s="8" t="inlineStr">
        <is>
          <t>7894916516679</t>
        </is>
      </c>
      <c r="C234" s="8" t="inlineStr">
        <is>
          <t>NEUTROFER FOLATO D 30CPR REV</t>
        </is>
      </c>
      <c r="D234" s="9" t="n">
        <v>1</v>
      </c>
      <c r="E234" s="9" t="n">
        <v>1</v>
      </c>
      <c r="F234" s="9" t="n">
        <v>1</v>
      </c>
      <c r="G234" s="10" t="n">
        <v>87.68000000000001</v>
      </c>
      <c r="H234" s="10" t="n">
        <v>71.28</v>
      </c>
      <c r="I234" s="10" t="n"/>
      <c r="J234" s="10" t="n">
        <v>84.8</v>
      </c>
      <c r="K234" s="10" t="n"/>
      <c r="L234" s="10" t="n">
        <v>87.26400000000001</v>
      </c>
      <c r="M234" s="8" t="inlineStr">
        <is>
          <t>SB LOG</t>
        </is>
      </c>
      <c r="N234" s="10" t="n">
        <v>84.8</v>
      </c>
      <c r="O234" s="11">
        <f>N234/G234-1</f>
        <v/>
      </c>
      <c r="P234" s="12" t="inlineStr">
        <is>
          <t>OK (≤ últ. compra)</t>
        </is>
      </c>
      <c r="Q234" s="8" t="inlineStr">
        <is>
          <t>sem estoque na Nazária</t>
        </is>
      </c>
    </row>
    <row r="235">
      <c r="A235" s="8" t="n">
        <v>16441</v>
      </c>
      <c r="B235" s="8" t="inlineStr">
        <is>
          <t>7894916500425</t>
        </is>
      </c>
      <c r="C235" s="8" t="inlineStr">
        <is>
          <t>NEUTROFER FOLICO 150MG FR 30 COMP</t>
        </is>
      </c>
      <c r="D235" s="9" t="n">
        <v>1</v>
      </c>
      <c r="E235" s="9" t="n">
        <v>1</v>
      </c>
      <c r="F235" s="9" t="n">
        <v>1</v>
      </c>
      <c r="G235" s="10" t="n">
        <v>34.74</v>
      </c>
      <c r="H235" s="10" t="n">
        <v>34.355</v>
      </c>
      <c r="I235" s="10" t="n">
        <v>36.1</v>
      </c>
      <c r="J235" s="10" t="n"/>
      <c r="K235" s="10" t="n"/>
      <c r="L235" s="10" t="n">
        <v>34.3776</v>
      </c>
      <c r="M235" s="8" t="inlineStr">
        <is>
          <t>SEM COTAÇÃO</t>
        </is>
      </c>
      <c r="N235" s="10" t="n"/>
      <c r="O235" s="11" t="n"/>
      <c r="P235" s="8" t="inlineStr"/>
      <c r="Q235" s="8" t="inlineStr">
        <is>
          <t>sem estoque na Nazária; sem estoque no ePan</t>
        </is>
      </c>
    </row>
    <row r="236">
      <c r="A236" s="8" t="n">
        <v>443</v>
      </c>
      <c r="B236" s="8" t="inlineStr">
        <is>
          <t>7891010704490</t>
        </is>
      </c>
      <c r="C236" s="8" t="inlineStr">
        <is>
          <t>NEUTROG D CLEAN ESF ENER 100G</t>
        </is>
      </c>
      <c r="D236" s="9" t="n">
        <v>1</v>
      </c>
      <c r="E236" s="9" t="n">
        <v>1</v>
      </c>
      <c r="F236" s="9" t="n">
        <v>1</v>
      </c>
      <c r="G236" s="10" t="n">
        <v>33.105</v>
      </c>
      <c r="H236" s="10" t="n">
        <v>33.105</v>
      </c>
      <c r="I236" s="10" t="n"/>
      <c r="J236" s="10" t="n"/>
      <c r="K236" s="10" t="n"/>
      <c r="L236" s="10" t="n">
        <v>33.46</v>
      </c>
      <c r="M236" s="8" t="inlineStr">
        <is>
          <t>NAZARIA</t>
        </is>
      </c>
      <c r="N236" s="10" t="n">
        <v>33.46</v>
      </c>
      <c r="O236" s="11">
        <f>N236/G236-1</f>
        <v/>
      </c>
      <c r="P236" s="13" t="inlineStr">
        <is>
          <t>ACIMA +1.1% (vs últ. compra)</t>
        </is>
      </c>
      <c r="Q236" s="8" t="inlineStr"/>
    </row>
    <row r="237">
      <c r="A237" s="8" t="n">
        <v>652651</v>
      </c>
      <c r="B237" s="8" t="inlineStr">
        <is>
          <t>4005900929679</t>
        </is>
      </c>
      <c r="C237" s="8" t="inlineStr">
        <is>
          <t>NIVEA VISAGE CELLULLAR LIFT EXPERT DIA SPF 30 50GRS</t>
        </is>
      </c>
      <c r="D237" s="9" t="n">
        <v>1</v>
      </c>
      <c r="E237" s="9" t="n">
        <v>1</v>
      </c>
      <c r="F237" s="9" t="n">
        <v>1</v>
      </c>
      <c r="G237" s="10" t="n">
        <v>50.02</v>
      </c>
      <c r="H237" s="10" t="n">
        <v>50.02</v>
      </c>
      <c r="I237" s="10" t="n"/>
      <c r="J237" s="10" t="n"/>
      <c r="K237" s="10" t="n"/>
      <c r="L237" s="10" t="n"/>
      <c r="M237" s="8" t="inlineStr">
        <is>
          <t>SEM COTAÇÃO</t>
        </is>
      </c>
      <c r="N237" s="10" t="n"/>
      <c r="O237" s="11" t="n"/>
      <c r="P237" s="8" t="inlineStr"/>
      <c r="Q237" s="8" t="inlineStr"/>
    </row>
    <row r="238">
      <c r="A238" s="8" t="n">
        <v>69181</v>
      </c>
      <c r="B238" s="8" t="inlineStr">
        <is>
          <t>7891317460518</t>
        </is>
      </c>
      <c r="C238" s="8" t="inlineStr">
        <is>
          <t>NOEX 50MCG SUS NAS FR 200 DOS</t>
        </is>
      </c>
      <c r="D238" s="9" t="n">
        <v>1</v>
      </c>
      <c r="E238" s="9" t="n">
        <v>1</v>
      </c>
      <c r="F238" s="9" t="n">
        <v>1</v>
      </c>
      <c r="G238" s="10" t="n">
        <v>57.73</v>
      </c>
      <c r="H238" s="10" t="n">
        <v>53.3</v>
      </c>
      <c r="I238" s="10" t="n"/>
      <c r="J238" s="10" t="n">
        <v>59.6</v>
      </c>
      <c r="K238" s="10" t="n">
        <v>57.73</v>
      </c>
      <c r="L238" s="10" t="n">
        <v>61.42</v>
      </c>
      <c r="M238" s="8" t="inlineStr">
        <is>
          <t>TAPAJOS</t>
        </is>
      </c>
      <c r="N238" s="10" t="n">
        <v>57.73</v>
      </c>
      <c r="O238" s="11">
        <f>N238/G238-1</f>
        <v/>
      </c>
      <c r="P238" s="12" t="inlineStr">
        <is>
          <t>OK (≤ últ. compra)</t>
        </is>
      </c>
      <c r="Q238" s="8" t="inlineStr"/>
    </row>
    <row r="239">
      <c r="A239" s="8" t="n">
        <v>588811</v>
      </c>
      <c r="B239" s="8" t="inlineStr">
        <is>
          <t>7898581710547</t>
        </is>
      </c>
      <c r="C239" s="8" t="inlineStr">
        <is>
          <t>NORIPURUM 100MG CX 30 COMP MAST</t>
        </is>
      </c>
      <c r="D239" s="9" t="n">
        <v>1</v>
      </c>
      <c r="E239" s="9" t="n">
        <v>5</v>
      </c>
      <c r="F239" s="9" t="n">
        <v>5</v>
      </c>
      <c r="G239" s="10" t="n">
        <v>54.97</v>
      </c>
      <c r="H239" s="10" t="n">
        <v>52.5033</v>
      </c>
      <c r="I239" s="10" t="n">
        <v>54.58</v>
      </c>
      <c r="J239" s="10" t="n"/>
      <c r="K239" s="10" t="n"/>
      <c r="L239" s="10" t="n">
        <v>58.48</v>
      </c>
      <c r="M239" s="8" t="inlineStr">
        <is>
          <t>SEM COTAÇÃO</t>
        </is>
      </c>
      <c r="N239" s="10" t="n"/>
      <c r="O239" s="11" t="n"/>
      <c r="P239" s="8" t="inlineStr"/>
      <c r="Q239" s="8" t="inlineStr">
        <is>
          <t>sem estoque na Nazária; sem estoque no ePan</t>
        </is>
      </c>
    </row>
    <row r="240">
      <c r="A240" s="8" t="n">
        <v>588801</v>
      </c>
      <c r="B240" s="8" t="inlineStr">
        <is>
          <t>7898581710578</t>
        </is>
      </c>
      <c r="C240" s="8" t="inlineStr">
        <is>
          <t>NORIPURUM 10MG/ML XPE FR 120ML</t>
        </is>
      </c>
      <c r="D240" s="9" t="n">
        <v>1</v>
      </c>
      <c r="E240" s="9" t="n">
        <v>3</v>
      </c>
      <c r="F240" s="9" t="n">
        <v>3</v>
      </c>
      <c r="G240" s="10" t="n">
        <v>26.06</v>
      </c>
      <c r="H240" s="10" t="n">
        <v>26.06</v>
      </c>
      <c r="I240" s="10" t="n">
        <v>26.06</v>
      </c>
      <c r="J240" s="10" t="n">
        <v>27.1</v>
      </c>
      <c r="K240" s="10" t="n">
        <v>26.25</v>
      </c>
      <c r="L240" s="10" t="n">
        <v>27.93</v>
      </c>
      <c r="M240" s="8" t="inlineStr">
        <is>
          <t>EPAN</t>
        </is>
      </c>
      <c r="N240" s="10" t="n">
        <v>26.06</v>
      </c>
      <c r="O240" s="11">
        <f>N240/G240-1</f>
        <v/>
      </c>
      <c r="P240" s="12" t="inlineStr">
        <is>
          <t>OK (≤ menor hist.)</t>
        </is>
      </c>
      <c r="Q240" s="8" t="inlineStr"/>
    </row>
    <row r="241">
      <c r="A241" s="8" t="n">
        <v>601521</v>
      </c>
      <c r="B241" s="8" t="inlineStr">
        <is>
          <t>7898581710615</t>
        </is>
      </c>
      <c r="C241" s="8" t="inlineStr">
        <is>
          <t>NORIPURUM ENDOV INJ 5 AMP X 5ML</t>
        </is>
      </c>
      <c r="D241" s="9" t="n">
        <v>1</v>
      </c>
      <c r="E241" s="9" t="n">
        <v>1</v>
      </c>
      <c r="F241" s="9" t="n">
        <v>1</v>
      </c>
      <c r="G241" s="10" t="n">
        <v>70.11</v>
      </c>
      <c r="H241" s="10" t="n">
        <v>68.31</v>
      </c>
      <c r="I241" s="10" t="n">
        <v>77.5</v>
      </c>
      <c r="J241" s="10" t="n"/>
      <c r="K241" s="10" t="n"/>
      <c r="L241" s="10" t="n">
        <v>74.59</v>
      </c>
      <c r="M241" s="8" t="inlineStr">
        <is>
          <t>SEM COTAÇÃO</t>
        </is>
      </c>
      <c r="N241" s="10" t="n"/>
      <c r="O241" s="11" t="n"/>
      <c r="P241" s="8" t="inlineStr"/>
      <c r="Q241" s="8" t="inlineStr">
        <is>
          <t>sem estoque na Nazária; sem estoque no ePan</t>
        </is>
      </c>
    </row>
    <row r="242">
      <c r="A242" s="8" t="n">
        <v>669611</v>
      </c>
      <c r="B242" s="8" t="inlineStr">
        <is>
          <t>7891000417584</t>
        </is>
      </c>
      <c r="C242" s="8" t="inlineStr">
        <is>
          <t>NUTREN MULTI A-Z 30CAPS SOFTGEL</t>
        </is>
      </c>
      <c r="D242" s="9" t="n">
        <v>1</v>
      </c>
      <c r="E242" s="9" t="n">
        <v>1</v>
      </c>
      <c r="F242" s="9" t="n">
        <v>1</v>
      </c>
      <c r="G242" s="10" t="n">
        <v>27.21</v>
      </c>
      <c r="H242" s="10" t="n">
        <v>16.6</v>
      </c>
      <c r="I242" s="10" t="n"/>
      <c r="J242" s="10" t="n"/>
      <c r="K242" s="10" t="n"/>
      <c r="L242" s="10" t="n">
        <v>30.38</v>
      </c>
      <c r="M242" s="8" t="inlineStr">
        <is>
          <t>NAZARIA</t>
        </is>
      </c>
      <c r="N242" s="10" t="n">
        <v>30.38</v>
      </c>
      <c r="O242" s="11">
        <f>N242/G242-1</f>
        <v/>
      </c>
      <c r="P242" s="13" t="inlineStr">
        <is>
          <t>ACIMA +11.7% (vs últ. compra)</t>
        </is>
      </c>
      <c r="Q242" s="8" t="inlineStr"/>
    </row>
    <row r="243">
      <c r="A243" s="8" t="inlineStr">
        <is>
          <t>TOTAL GERAL</t>
        </is>
      </c>
      <c r="B243" s="8" t="inlineStr"/>
      <c r="C243" s="8" t="n"/>
      <c r="D243" s="9" t="n">
        <v>1152</v>
      </c>
      <c r="E243" s="9" t="n">
        <v>2072</v>
      </c>
      <c r="F243" s="9" t="n">
        <v>3234</v>
      </c>
      <c r="G243" s="10" t="n"/>
      <c r="H243" s="10" t="n"/>
      <c r="I243" s="10" t="n"/>
      <c r="J243" s="10" t="n"/>
      <c r="K243" s="10" t="n"/>
      <c r="L243" s="10" t="n"/>
      <c r="M243" s="8" t="inlineStr">
        <is>
          <t>SEM COTAÇÃO</t>
        </is>
      </c>
      <c r="N243" s="10" t="n"/>
      <c r="O243" s="11" t="n"/>
      <c r="P243" s="8" t="inlineStr"/>
      <c r="Q243" s="8" t="inlineStr"/>
    </row>
    <row r="244">
      <c r="A244" s="8" t="n">
        <v>290201</v>
      </c>
      <c r="B244" s="8" t="inlineStr">
        <is>
          <t>7894916510431</t>
        </is>
      </c>
      <c r="C244" s="8" t="inlineStr">
        <is>
          <t>OLMY HCT 40+25MG CX 10 COMP REV</t>
        </is>
      </c>
      <c r="D244" s="9" t="n">
        <v>1</v>
      </c>
      <c r="E244" s="9" t="n">
        <v>1</v>
      </c>
      <c r="F244" s="9" t="n">
        <v>1</v>
      </c>
      <c r="G244" s="10" t="n">
        <v>43.2</v>
      </c>
      <c r="H244" s="10" t="n">
        <v>43.2</v>
      </c>
      <c r="I244" s="10" t="n"/>
      <c r="J244" s="10" t="n">
        <v>47.4</v>
      </c>
      <c r="K244" s="10" t="n"/>
      <c r="L244" s="10" t="n">
        <v>46.95359999999999</v>
      </c>
      <c r="M244" s="8" t="inlineStr">
        <is>
          <t>SB LOG</t>
        </is>
      </c>
      <c r="N244" s="10" t="n">
        <v>47.4</v>
      </c>
      <c r="O244" s="11">
        <f>N244/G244-1</f>
        <v/>
      </c>
      <c r="P244" s="13" t="inlineStr">
        <is>
          <t>ACIMA +9.7% (vs últ. compra)</t>
        </is>
      </c>
      <c r="Q244" s="8" t="inlineStr">
        <is>
          <t>sem estoque na Nazária</t>
        </is>
      </c>
    </row>
    <row r="245">
      <c r="A245" s="8" t="n">
        <v>468981</v>
      </c>
      <c r="B245" s="8" t="inlineStr">
        <is>
          <t>7895858015824</t>
        </is>
      </c>
      <c r="C245" s="8" t="inlineStr">
        <is>
          <t>OMCILON A 1,0MG/G PAS BG 10G</t>
        </is>
      </c>
      <c r="D245" s="9" t="n">
        <v>1</v>
      </c>
      <c r="E245" s="9" t="n">
        <v>4</v>
      </c>
      <c r="F245" s="9" t="n">
        <v>4</v>
      </c>
      <c r="G245" s="10" t="n">
        <v>18.945</v>
      </c>
      <c r="H245" s="10" t="n">
        <v>16.8473</v>
      </c>
      <c r="I245" s="10" t="n">
        <v>18.94</v>
      </c>
      <c r="J245" s="10" t="n">
        <v>19.7</v>
      </c>
      <c r="K245" s="10" t="n"/>
      <c r="L245" s="10" t="n">
        <v>17.8552</v>
      </c>
      <c r="M245" s="8" t="inlineStr">
        <is>
          <t>NAZARIA</t>
        </is>
      </c>
      <c r="N245" s="10" t="n">
        <v>17.8552</v>
      </c>
      <c r="O245" s="11">
        <f>N245/G245-1</f>
        <v/>
      </c>
      <c r="P245" s="12" t="inlineStr">
        <is>
          <t>OK (≤ últ. compra)</t>
        </is>
      </c>
      <c r="Q245" s="8" t="inlineStr"/>
    </row>
    <row r="246">
      <c r="A246" s="8" t="n">
        <v>627711</v>
      </c>
      <c r="B246" s="8" t="inlineStr">
        <is>
          <t>7896023799983</t>
        </is>
      </c>
      <c r="C246" s="8" t="inlineStr">
        <is>
          <t>OMEGA 3 1000MG 60CAP</t>
        </is>
      </c>
      <c r="D246" s="9" t="n">
        <v>1</v>
      </c>
      <c r="E246" s="9" t="n">
        <v>5</v>
      </c>
      <c r="F246" s="9" t="n">
        <v>5</v>
      </c>
      <c r="G246" s="10" t="n">
        <v>32.02</v>
      </c>
      <c r="H246" s="10" t="n">
        <v>27.07</v>
      </c>
      <c r="I246" s="10" t="n">
        <v>19.03</v>
      </c>
      <c r="J246" s="10" t="n"/>
      <c r="K246" s="10" t="n"/>
      <c r="L246" s="10" t="n">
        <v>37.94</v>
      </c>
      <c r="M246" s="8" t="inlineStr">
        <is>
          <t>EPAN</t>
        </is>
      </c>
      <c r="N246" s="10" t="n">
        <v>19.03</v>
      </c>
      <c r="O246" s="11">
        <f>N246/G246-1</f>
        <v/>
      </c>
      <c r="P246" s="12" t="inlineStr">
        <is>
          <t>OK (≤ menor hist.)</t>
        </is>
      </c>
      <c r="Q246" s="8" t="inlineStr"/>
    </row>
    <row r="247">
      <c r="A247" s="8" t="n">
        <v>321581</v>
      </c>
      <c r="B247" s="8" t="inlineStr">
        <is>
          <t>7896637022439</t>
        </is>
      </c>
      <c r="C247" s="8" t="inlineStr">
        <is>
          <t>OTO-XILODASE SOL OTO FR 8ML+AMP</t>
        </is>
      </c>
      <c r="D247" s="9" t="n">
        <v>1</v>
      </c>
      <c r="E247" s="9" t="n">
        <v>10</v>
      </c>
      <c r="F247" s="9" t="n">
        <v>10</v>
      </c>
      <c r="G247" s="10" t="n">
        <v>19.83</v>
      </c>
      <c r="H247" s="10" t="n">
        <v>19.515</v>
      </c>
      <c r="I247" s="10" t="n"/>
      <c r="J247" s="10" t="n">
        <v>20.5</v>
      </c>
      <c r="K247" s="10" t="n">
        <v>19.83</v>
      </c>
      <c r="L247" s="10" t="n">
        <v>21.1</v>
      </c>
      <c r="M247" s="8" t="inlineStr">
        <is>
          <t>TAPAJOS</t>
        </is>
      </c>
      <c r="N247" s="10" t="n">
        <v>19.83</v>
      </c>
      <c r="O247" s="11">
        <f>N247/G247-1</f>
        <v/>
      </c>
      <c r="P247" s="12" t="inlineStr">
        <is>
          <t>OK (≤ últ. compra)</t>
        </is>
      </c>
      <c r="Q247" s="8" t="inlineStr"/>
    </row>
    <row r="248">
      <c r="A248" s="8" t="n">
        <v>452561</v>
      </c>
      <c r="B248" s="8" t="inlineStr">
        <is>
          <t>7898040320942</t>
        </is>
      </c>
      <c r="C248" s="8" t="inlineStr">
        <is>
          <t>OTOSPORIN SOL OTO FR GTS 10ML</t>
        </is>
      </c>
      <c r="D248" s="9" t="n">
        <v>1</v>
      </c>
      <c r="E248" s="9" t="n">
        <v>2</v>
      </c>
      <c r="F248" s="9" t="n">
        <v>2</v>
      </c>
      <c r="G248" s="10" t="n">
        <v>11.99</v>
      </c>
      <c r="H248" s="10" t="n">
        <v>11.9875</v>
      </c>
      <c r="I248" s="10" t="n"/>
      <c r="J248" s="10" t="n">
        <v>13.2</v>
      </c>
      <c r="K248" s="10" t="n">
        <v>13.04</v>
      </c>
      <c r="L248" s="10" t="n">
        <v>12.9485</v>
      </c>
      <c r="M248" s="8" t="inlineStr">
        <is>
          <t>NAZARIA</t>
        </is>
      </c>
      <c r="N248" s="10" t="n">
        <v>12.9485</v>
      </c>
      <c r="O248" s="11">
        <f>N248/G248-1</f>
        <v/>
      </c>
      <c r="P248" s="13" t="inlineStr">
        <is>
          <t>ACIMA +8.0% (vs últ. compra)</t>
        </is>
      </c>
      <c r="Q248" s="8" t="inlineStr"/>
    </row>
    <row r="249">
      <c r="A249" s="8" t="n">
        <v>398941</v>
      </c>
      <c r="B249" s="8" t="inlineStr">
        <is>
          <t>7891317000035</t>
        </is>
      </c>
      <c r="C249" s="8" t="inlineStr">
        <is>
          <t>PACO 500MG+30MG CX 12 COMP</t>
        </is>
      </c>
      <c r="D249" s="9" t="n">
        <v>1</v>
      </c>
      <c r="E249" s="9" t="n">
        <v>6</v>
      </c>
      <c r="F249" s="9" t="n">
        <v>6</v>
      </c>
      <c r="G249" s="10" t="n">
        <v>31.99</v>
      </c>
      <c r="H249" s="10" t="n">
        <v>23.0125</v>
      </c>
      <c r="I249" s="10" t="n"/>
      <c r="J249" s="10" t="n">
        <v>25.7</v>
      </c>
      <c r="K249" s="10" t="n">
        <v>24.95</v>
      </c>
      <c r="L249" s="10" t="n">
        <v>25.4784</v>
      </c>
      <c r="M249" s="8" t="inlineStr">
        <is>
          <t>TAPAJOS</t>
        </is>
      </c>
      <c r="N249" s="10" t="n">
        <v>24.95</v>
      </c>
      <c r="O249" s="11">
        <f>N249/G249-1</f>
        <v/>
      </c>
      <c r="P249" s="12" t="inlineStr">
        <is>
          <t>OK (≤ últ. compra)</t>
        </is>
      </c>
      <c r="Q249" s="8" t="inlineStr"/>
    </row>
    <row r="250">
      <c r="A250" s="8" t="n">
        <v>398921</v>
      </c>
      <c r="B250" s="8" t="inlineStr">
        <is>
          <t>7891317000042</t>
        </is>
      </c>
      <c r="C250" s="8" t="inlineStr">
        <is>
          <t>PACO 500MG+30MG CX 24 COMP</t>
        </is>
      </c>
      <c r="D250" s="9" t="n">
        <v>1</v>
      </c>
      <c r="E250" s="9" t="n">
        <v>1</v>
      </c>
      <c r="F250" s="9" t="n">
        <v>1</v>
      </c>
      <c r="G250" s="10" t="n">
        <v>46.6</v>
      </c>
      <c r="H250" s="10" t="n">
        <v>41.795</v>
      </c>
      <c r="I250" s="10" t="n"/>
      <c r="J250" s="10" t="n">
        <v>46.8</v>
      </c>
      <c r="K250" s="10" t="n">
        <v>45.32</v>
      </c>
      <c r="L250" s="10" t="n">
        <v>46.2912</v>
      </c>
      <c r="M250" s="8" t="inlineStr">
        <is>
          <t>TAPAJOS</t>
        </is>
      </c>
      <c r="N250" s="10" t="n">
        <v>45.32</v>
      </c>
      <c r="O250" s="11">
        <f>N250/G250-1</f>
        <v/>
      </c>
      <c r="P250" s="12" t="inlineStr">
        <is>
          <t>OK (≤ últ. compra)</t>
        </is>
      </c>
      <c r="Q250" s="8" t="inlineStr"/>
    </row>
    <row r="251">
      <c r="A251" s="8" t="n">
        <v>565041</v>
      </c>
      <c r="B251" s="8" t="inlineStr">
        <is>
          <t>78900813</t>
        </is>
      </c>
      <c r="C251" s="8" t="inlineStr">
        <is>
          <t>PASTILHAS VALDA CLASSIC 24G</t>
        </is>
      </c>
      <c r="D251" s="9" t="n">
        <v>12</v>
      </c>
      <c r="E251" s="9" t="n">
        <v>1</v>
      </c>
      <c r="F251" s="9" t="n">
        <v>12</v>
      </c>
      <c r="G251" s="10" t="n">
        <v>4.71583333333333</v>
      </c>
      <c r="H251" s="10" t="n">
        <v>4.6233</v>
      </c>
      <c r="I251" s="10" t="n"/>
      <c r="J251" s="10" t="n"/>
      <c r="K251" s="10" t="n"/>
      <c r="L251" s="10" t="n"/>
      <c r="M251" s="8" t="inlineStr">
        <is>
          <t>SEM COTAÇÃO</t>
        </is>
      </c>
      <c r="N251" s="10" t="n"/>
      <c r="O251" s="11" t="n"/>
      <c r="P251" s="8" t="inlineStr"/>
      <c r="Q251" s="8" t="inlineStr"/>
    </row>
    <row r="252">
      <c r="A252" s="8" t="n">
        <v>652011</v>
      </c>
      <c r="B252" s="8" t="inlineStr">
        <is>
          <t>7891158106460</t>
        </is>
      </c>
      <c r="C252" s="8" t="inlineStr">
        <is>
          <t>PEDIALYTE MAX COCO 500ML</t>
        </is>
      </c>
      <c r="D252" s="9" t="n">
        <v>1</v>
      </c>
      <c r="E252" s="9" t="n">
        <v>2</v>
      </c>
      <c r="F252" s="9" t="n">
        <v>2</v>
      </c>
      <c r="G252" s="10" t="n">
        <v>22.32</v>
      </c>
      <c r="H252" s="10" t="n">
        <v>20.09</v>
      </c>
      <c r="I252" s="10" t="n">
        <v>21.92</v>
      </c>
      <c r="J252" s="10" t="n"/>
      <c r="K252" s="10" t="n"/>
      <c r="L252" s="10" t="n"/>
      <c r="M252" s="8" t="inlineStr">
        <is>
          <t>SEM COTAÇÃO</t>
        </is>
      </c>
      <c r="N252" s="10" t="n"/>
      <c r="O252" s="11" t="n"/>
      <c r="P252" s="8" t="inlineStr"/>
      <c r="Q252" s="8" t="inlineStr">
        <is>
          <t>sem estoque no ePan</t>
        </is>
      </c>
    </row>
    <row r="253">
      <c r="A253" s="8" t="n">
        <v>626351</v>
      </c>
      <c r="B253" s="8" t="inlineStr">
        <is>
          <t>7891158106453</t>
        </is>
      </c>
      <c r="C253" s="8" t="inlineStr">
        <is>
          <t>PEDIALYTE MAX SOL OR FR 500ML SB MORANGO</t>
        </is>
      </c>
      <c r="D253" s="9" t="n">
        <v>1</v>
      </c>
      <c r="E253" s="9" t="n">
        <v>6</v>
      </c>
      <c r="F253" s="9" t="n">
        <v>6</v>
      </c>
      <c r="G253" s="10" t="n">
        <v>17.865</v>
      </c>
      <c r="H253" s="10" t="n">
        <v>17.8633</v>
      </c>
      <c r="I253" s="10" t="n">
        <v>21.92</v>
      </c>
      <c r="J253" s="10" t="n"/>
      <c r="K253" s="10" t="n"/>
      <c r="L253" s="10" t="n">
        <v>21.2628</v>
      </c>
      <c r="M253" s="8" t="inlineStr">
        <is>
          <t>EPAN</t>
        </is>
      </c>
      <c r="N253" s="10" t="n">
        <v>21.92</v>
      </c>
      <c r="O253" s="11">
        <f>N253/G253-1</f>
        <v/>
      </c>
      <c r="P253" s="13" t="inlineStr">
        <is>
          <t>ACIMA +22.7% (vs últ. compra)</t>
        </is>
      </c>
      <c r="Q253" s="8" t="inlineStr">
        <is>
          <t>sem estoque na Nazária</t>
        </is>
      </c>
    </row>
    <row r="254">
      <c r="A254" s="8" t="n">
        <v>17603</v>
      </c>
      <c r="B254" s="8" t="inlineStr">
        <is>
          <t>7896026172356</t>
        </is>
      </c>
      <c r="C254" s="8" t="inlineStr">
        <is>
          <t>PENETRO SPRAY 50ML</t>
        </is>
      </c>
      <c r="D254" s="9" t="n">
        <v>1</v>
      </c>
      <c r="E254" s="9" t="n">
        <v>1</v>
      </c>
      <c r="F254" s="9" t="n">
        <v>1</v>
      </c>
      <c r="G254" s="10" t="n">
        <v>33.915</v>
      </c>
      <c r="H254" s="10" t="n">
        <v>33.915</v>
      </c>
      <c r="I254" s="10" t="n"/>
      <c r="J254" s="10" t="n"/>
      <c r="K254" s="10" t="n"/>
      <c r="L254" s="10" t="n">
        <v>32.2</v>
      </c>
      <c r="M254" s="8" t="inlineStr">
        <is>
          <t>SEM COTAÇÃO</t>
        </is>
      </c>
      <c r="N254" s="10" t="n"/>
      <c r="O254" s="11" t="n"/>
      <c r="P254" s="8" t="inlineStr"/>
      <c r="Q254" s="8" t="inlineStr">
        <is>
          <t>sem estoque na Nazária</t>
        </is>
      </c>
    </row>
    <row r="255">
      <c r="A255" s="8" t="n">
        <v>594751</v>
      </c>
      <c r="B255" s="8" t="inlineStr">
        <is>
          <t>7891024179925</t>
        </is>
      </c>
      <c r="C255" s="8" t="inlineStr">
        <is>
          <t>PERIOGARD S/ALCOOL 250ML</t>
        </is>
      </c>
      <c r="D255" s="9" t="n">
        <v>1</v>
      </c>
      <c r="E255" s="9" t="n">
        <v>2</v>
      </c>
      <c r="F255" s="9" t="n">
        <v>2</v>
      </c>
      <c r="G255" s="10" t="n">
        <v>25.345</v>
      </c>
      <c r="H255" s="10" t="n">
        <v>22.4675</v>
      </c>
      <c r="I255" s="10" t="n"/>
      <c r="J255" s="10" t="n"/>
      <c r="K255" s="10" t="n"/>
      <c r="L255" s="10" t="n">
        <v>25.344</v>
      </c>
      <c r="M255" s="8" t="inlineStr">
        <is>
          <t>NAZARIA</t>
        </is>
      </c>
      <c r="N255" s="10" t="n">
        <v>25.344</v>
      </c>
      <c r="O255" s="11">
        <f>N255/G255-1</f>
        <v/>
      </c>
      <c r="P255" s="12" t="inlineStr">
        <is>
          <t>OK (≤ últ. compra)</t>
        </is>
      </c>
      <c r="Q255" s="8" t="inlineStr"/>
    </row>
    <row r="256">
      <c r="A256" s="8" t="n">
        <v>553021</v>
      </c>
      <c r="B256" s="8" t="inlineStr">
        <is>
          <t>7896676434323</t>
        </is>
      </c>
      <c r="C256" s="8" t="inlineStr">
        <is>
          <t>PHOSFOENEMA 160+60MG/ML ENEMA FR 130ML</t>
        </is>
      </c>
      <c r="D256" s="9" t="n">
        <v>1</v>
      </c>
      <c r="E256" s="9" t="n">
        <v>3</v>
      </c>
      <c r="F256" s="9" t="n">
        <v>3</v>
      </c>
      <c r="G256" s="10" t="n">
        <v>16.8266666666667</v>
      </c>
      <c r="H256" s="10" t="n">
        <v>14.228</v>
      </c>
      <c r="I256" s="10" t="n">
        <v>16.82</v>
      </c>
      <c r="J256" s="10" t="n">
        <v>16.9</v>
      </c>
      <c r="K256" s="10" t="n"/>
      <c r="L256" s="10" t="n">
        <v>16.7136</v>
      </c>
      <c r="M256" s="8" t="inlineStr">
        <is>
          <t>NAZARIA</t>
        </is>
      </c>
      <c r="N256" s="10" t="n">
        <v>16.7136</v>
      </c>
      <c r="O256" s="11">
        <f>N256/G256-1</f>
        <v/>
      </c>
      <c r="P256" s="12" t="inlineStr">
        <is>
          <t>OK (≤ últ. compra)</t>
        </is>
      </c>
      <c r="Q256" s="8" t="inlineStr"/>
    </row>
    <row r="257">
      <c r="A257" s="8" t="n">
        <v>159781</v>
      </c>
      <c r="B257" s="8" t="inlineStr">
        <is>
          <t>7891058059149</t>
        </is>
      </c>
      <c r="C257" s="8" t="inlineStr">
        <is>
          <t>PLASIL 10MG CX 20 COMP</t>
        </is>
      </c>
      <c r="D257" s="9" t="n">
        <v>1</v>
      </c>
      <c r="E257" s="9" t="n">
        <v>7</v>
      </c>
      <c r="F257" s="9" t="n">
        <v>7</v>
      </c>
      <c r="G257" s="10" t="n">
        <v>11.352</v>
      </c>
      <c r="H257" s="10" t="n">
        <v>9.918900000000001</v>
      </c>
      <c r="I257" s="10" t="n"/>
      <c r="J257" s="10" t="n"/>
      <c r="K257" s="10" t="n"/>
      <c r="L257" s="10" t="n">
        <v>11.32</v>
      </c>
      <c r="M257" s="8" t="inlineStr">
        <is>
          <t>NAZARIA</t>
        </is>
      </c>
      <c r="N257" s="10" t="n">
        <v>11.32</v>
      </c>
      <c r="O257" s="11">
        <f>N257/G257-1</f>
        <v/>
      </c>
      <c r="P257" s="12" t="inlineStr">
        <is>
          <t>OK (≤ últ. compra)</t>
        </is>
      </c>
      <c r="Q257" s="8" t="inlineStr">
        <is>
          <t>estoque parcial (5 un)</t>
        </is>
      </c>
    </row>
    <row r="258">
      <c r="A258" s="8" t="n">
        <v>284281</v>
      </c>
      <c r="B258" s="8" t="inlineStr">
        <is>
          <t>7896637025362</t>
        </is>
      </c>
      <c r="C258" s="8" t="inlineStr">
        <is>
          <t>POSTEC 2,5MG+150UTR POM DERM BG 20G</t>
        </is>
      </c>
      <c r="D258" s="9" t="n">
        <v>1</v>
      </c>
      <c r="E258" s="9" t="n">
        <v>2</v>
      </c>
      <c r="F258" s="9" t="n">
        <v>2</v>
      </c>
      <c r="G258" s="10" t="n">
        <v>108.14</v>
      </c>
      <c r="H258" s="10" t="n">
        <v>101.2367</v>
      </c>
      <c r="I258" s="10" t="n"/>
      <c r="J258" s="10" t="n">
        <v>111.6</v>
      </c>
      <c r="K258" s="10" t="n">
        <v>108.14</v>
      </c>
      <c r="L258" s="10" t="n">
        <v>115.04</v>
      </c>
      <c r="M258" s="8" t="inlineStr">
        <is>
          <t>TAPAJOS</t>
        </is>
      </c>
      <c r="N258" s="10" t="n">
        <v>108.14</v>
      </c>
      <c r="O258" s="11">
        <f>N258/G258-1</f>
        <v/>
      </c>
      <c r="P258" s="12" t="inlineStr">
        <is>
          <t>OK (≤ últ. compra)</t>
        </is>
      </c>
      <c r="Q258" s="8" t="inlineStr"/>
    </row>
    <row r="259">
      <c r="A259" s="8" t="n">
        <v>255821</v>
      </c>
      <c r="B259" s="8" t="inlineStr">
        <is>
          <t>7891317004163</t>
        </is>
      </c>
      <c r="C259" s="8" t="inlineStr">
        <is>
          <t>PRENI 11MG/ML SOL OR FR GOT 20ML</t>
        </is>
      </c>
      <c r="D259" s="9" t="n">
        <v>1</v>
      </c>
      <c r="E259" s="9" t="n">
        <v>1</v>
      </c>
      <c r="F259" s="9" t="n">
        <v>1</v>
      </c>
      <c r="G259" s="10" t="n">
        <v>30.25</v>
      </c>
      <c r="H259" s="10" t="n">
        <v>27.63</v>
      </c>
      <c r="I259" s="10" t="n">
        <v>30.77</v>
      </c>
      <c r="J259" s="10" t="n"/>
      <c r="K259" s="10" t="n"/>
      <c r="L259" s="10" t="n"/>
      <c r="M259" s="8" t="inlineStr">
        <is>
          <t>SEM COTAÇÃO</t>
        </is>
      </c>
      <c r="N259" s="10" t="n"/>
      <c r="O259" s="11" t="n"/>
      <c r="P259" s="8" t="inlineStr"/>
      <c r="Q259" s="8" t="inlineStr">
        <is>
          <t>sem estoque no ePan</t>
        </is>
      </c>
    </row>
    <row r="260">
      <c r="A260" s="8" t="n">
        <v>408261</v>
      </c>
      <c r="B260" s="8" t="inlineStr">
        <is>
          <t>7891317004095</t>
        </is>
      </c>
      <c r="C260" s="8" t="inlineStr">
        <is>
          <t>PRENI 20MG CX 10 COMP</t>
        </is>
      </c>
      <c r="D260" s="9" t="n">
        <v>1</v>
      </c>
      <c r="E260" s="9" t="n">
        <v>1</v>
      </c>
      <c r="F260" s="9" t="n">
        <v>1</v>
      </c>
      <c r="G260" s="10" t="n">
        <v>19.31</v>
      </c>
      <c r="H260" s="10" t="n">
        <v>19.31</v>
      </c>
      <c r="I260" s="10" t="n">
        <v>21.51</v>
      </c>
      <c r="J260" s="10" t="n"/>
      <c r="K260" s="10" t="n"/>
      <c r="L260" s="10" t="n"/>
      <c r="M260" s="8" t="inlineStr">
        <is>
          <t>SEM COTAÇÃO</t>
        </is>
      </c>
      <c r="N260" s="10" t="n"/>
      <c r="O260" s="11" t="n"/>
      <c r="P260" s="8" t="inlineStr"/>
      <c r="Q260" s="8" t="inlineStr">
        <is>
          <t>sem estoque no ePan</t>
        </is>
      </c>
    </row>
    <row r="261">
      <c r="A261" s="8" t="n">
        <v>613011</v>
      </c>
      <c r="B261" s="8" t="inlineStr">
        <is>
          <t>7891317476410</t>
        </is>
      </c>
      <c r="C261" s="8" t="inlineStr">
        <is>
          <t>PRENI 3MG/ML SOL OR FR 120ML+SER DOS</t>
        </is>
      </c>
      <c r="D261" s="9" t="n">
        <v>1</v>
      </c>
      <c r="E261" s="9" t="n">
        <v>1</v>
      </c>
      <c r="F261" s="9" t="n">
        <v>1</v>
      </c>
      <c r="G261" s="10" t="n">
        <v>38.63</v>
      </c>
      <c r="H261" s="10" t="n">
        <v>38.63</v>
      </c>
      <c r="I261" s="10" t="n"/>
      <c r="J261" s="10" t="n"/>
      <c r="K261" s="10" t="n"/>
      <c r="L261" s="10" t="n"/>
      <c r="M261" s="8" t="inlineStr">
        <is>
          <t>SEM COTAÇÃO</t>
        </is>
      </c>
      <c r="N261" s="10" t="n"/>
      <c r="O261" s="11" t="n"/>
      <c r="P261" s="8" t="inlineStr"/>
      <c r="Q261" s="8" t="inlineStr"/>
    </row>
    <row r="262">
      <c r="A262" s="8" t="n">
        <v>256001</v>
      </c>
      <c r="B262" s="8" t="inlineStr">
        <is>
          <t>7891317004217</t>
        </is>
      </c>
      <c r="C262" s="8" t="inlineStr">
        <is>
          <t>PRENI 3MG/ML SOL OR FR 60ML+SER DOS</t>
        </is>
      </c>
      <c r="D262" s="9" t="n">
        <v>1</v>
      </c>
      <c r="E262" s="9" t="n">
        <v>1</v>
      </c>
      <c r="F262" s="9" t="n">
        <v>1</v>
      </c>
      <c r="G262" s="10" t="n">
        <v>21.51</v>
      </c>
      <c r="H262" s="10" t="n">
        <v>18.91</v>
      </c>
      <c r="I262" s="10" t="n">
        <v>21.05</v>
      </c>
      <c r="J262" s="10" t="n"/>
      <c r="K262" s="10" t="n"/>
      <c r="L262" s="10" t="n"/>
      <c r="M262" s="8" t="inlineStr">
        <is>
          <t>SEM COTAÇÃO</t>
        </is>
      </c>
      <c r="N262" s="10" t="n"/>
      <c r="O262" s="11" t="n"/>
      <c r="P262" s="8" t="inlineStr"/>
      <c r="Q262" s="8" t="inlineStr">
        <is>
          <t>sem estoque no ePan</t>
        </is>
      </c>
    </row>
    <row r="263">
      <c r="A263" s="8" t="n">
        <v>563381</v>
      </c>
      <c r="B263" s="8" t="inlineStr">
        <is>
          <t>7891106914048</t>
        </is>
      </c>
      <c r="C263" s="8" t="inlineStr">
        <is>
          <t>PRIMOGYNA 2MG CX 28 DRG</t>
        </is>
      </c>
      <c r="D263" s="9" t="n">
        <v>1</v>
      </c>
      <c r="E263" s="9" t="n">
        <v>1</v>
      </c>
      <c r="F263" s="9" t="n">
        <v>1</v>
      </c>
      <c r="G263" s="10" t="n">
        <v>78.16</v>
      </c>
      <c r="H263" s="10" t="n">
        <v>78.16</v>
      </c>
      <c r="I263" s="10" t="n"/>
      <c r="J263" s="10" t="n"/>
      <c r="K263" s="10" t="n"/>
      <c r="L263" s="10" t="n"/>
      <c r="M263" s="8" t="inlineStr">
        <is>
          <t>SEM COTAÇÃO</t>
        </is>
      </c>
      <c r="N263" s="10" t="n"/>
      <c r="O263" s="11" t="n"/>
      <c r="P263" s="8" t="inlineStr"/>
      <c r="Q263" s="8" t="inlineStr"/>
    </row>
    <row r="264">
      <c r="A264" s="8" t="n">
        <v>644221</v>
      </c>
      <c r="B264" s="8" t="inlineStr">
        <is>
          <t>7898636193622</t>
        </is>
      </c>
      <c r="C264" s="8" t="inlineStr">
        <is>
          <t>PROCTAN 25G C/ 10 LUVAS-OUTROS</t>
        </is>
      </c>
      <c r="D264" s="9" t="n">
        <v>1</v>
      </c>
      <c r="E264" s="9" t="n">
        <v>1</v>
      </c>
      <c r="F264" s="9" t="n">
        <v>1</v>
      </c>
      <c r="G264" s="10" t="n">
        <v>44.71</v>
      </c>
      <c r="H264" s="10" t="n">
        <v>34.175</v>
      </c>
      <c r="I264" s="10" t="n">
        <v>41.77</v>
      </c>
      <c r="J264" s="10" t="n"/>
      <c r="K264" s="10" t="n"/>
      <c r="L264" s="10" t="n">
        <v>47.87</v>
      </c>
      <c r="M264" s="8" t="inlineStr">
        <is>
          <t>EPAN</t>
        </is>
      </c>
      <c r="N264" s="10" t="n">
        <v>41.77</v>
      </c>
      <c r="O264" s="11">
        <f>N264/G264-1</f>
        <v/>
      </c>
      <c r="P264" s="12" t="inlineStr">
        <is>
          <t>OK (≤ últ. compra)</t>
        </is>
      </c>
      <c r="Q264" s="8" t="inlineStr"/>
    </row>
    <row r="265">
      <c r="A265" s="8" t="n">
        <v>543021</v>
      </c>
      <c r="B265" s="8" t="inlineStr">
        <is>
          <t>7898949409465</t>
        </is>
      </c>
      <c r="C265" s="8" t="inlineStr">
        <is>
          <t>PROCTAN 25G POMADA GENO %DN:0.00</t>
        </is>
      </c>
      <c r="D265" s="9" t="n">
        <v>1</v>
      </c>
      <c r="E265" s="9" t="n">
        <v>1</v>
      </c>
      <c r="F265" s="9" t="n">
        <v>1</v>
      </c>
      <c r="G265" s="10" t="n">
        <v>41.765</v>
      </c>
      <c r="H265" s="10" t="n">
        <v>34.1775</v>
      </c>
      <c r="I265" s="10" t="n">
        <v>41.77</v>
      </c>
      <c r="J265" s="10" t="n">
        <v>54.4</v>
      </c>
      <c r="K265" s="10" t="n"/>
      <c r="L265" s="10" t="n">
        <v>47.87</v>
      </c>
      <c r="M265" s="8" t="inlineStr">
        <is>
          <t>EPAN</t>
        </is>
      </c>
      <c r="N265" s="10" t="n">
        <v>41.77</v>
      </c>
      <c r="O265" s="11">
        <f>N265/G265-1</f>
        <v/>
      </c>
      <c r="P265" s="13" t="inlineStr">
        <is>
          <t>ACIMA +0.0% (vs últ. compra)</t>
        </is>
      </c>
      <c r="Q265" s="8" t="inlineStr"/>
    </row>
    <row r="266">
      <c r="A266" s="8" t="n">
        <v>405861</v>
      </c>
      <c r="B266" s="8" t="inlineStr">
        <is>
          <t>7896641801792</t>
        </is>
      </c>
      <c r="C266" s="8" t="inlineStr">
        <is>
          <t>PROCTYL POM BG 30G</t>
        </is>
      </c>
      <c r="D266" s="9" t="n">
        <v>1</v>
      </c>
      <c r="E266" s="9" t="n">
        <v>2</v>
      </c>
      <c r="F266" s="9" t="n">
        <v>2</v>
      </c>
      <c r="G266" s="10" t="n">
        <v>84.06999999999999</v>
      </c>
      <c r="H266" s="10" t="n">
        <v>65.70999999999999</v>
      </c>
      <c r="I266" s="10" t="n">
        <v>84.06999999999999</v>
      </c>
      <c r="J266" s="10" t="n">
        <v>80.90000000000001</v>
      </c>
      <c r="K266" s="10" t="n"/>
      <c r="L266" s="10" t="n">
        <v>83.40000000000001</v>
      </c>
      <c r="M266" s="8" t="inlineStr">
        <is>
          <t>SB LOG</t>
        </is>
      </c>
      <c r="N266" s="10" t="n">
        <v>80.90000000000001</v>
      </c>
      <c r="O266" s="11">
        <f>N266/G266-1</f>
        <v/>
      </c>
      <c r="P266" s="12" t="inlineStr">
        <is>
          <t>OK (≤ últ. compra)</t>
        </is>
      </c>
      <c r="Q266" s="8" t="inlineStr"/>
    </row>
    <row r="267">
      <c r="A267" s="8" t="n">
        <v>96361</v>
      </c>
      <c r="B267" s="8" t="inlineStr">
        <is>
          <t>7896070601871</t>
        </is>
      </c>
      <c r="C267" s="8" t="inlineStr">
        <is>
          <t>PROFENID 50MG SOL INJ CX 6 AMP X 2ML</t>
        </is>
      </c>
      <c r="D267" s="9" t="n">
        <v>6</v>
      </c>
      <c r="E267" s="9" t="n">
        <v>1</v>
      </c>
      <c r="F267" s="9" t="n">
        <v>6</v>
      </c>
      <c r="G267" s="10" t="n">
        <v>5.30833333333333</v>
      </c>
      <c r="H267" s="10" t="n">
        <v>5.0654</v>
      </c>
      <c r="I267" s="10" t="n">
        <v>5.308333333333334</v>
      </c>
      <c r="J267" s="10" t="n"/>
      <c r="K267" s="10" t="n"/>
      <c r="L267" s="10" t="n">
        <v>5.376666666666666</v>
      </c>
      <c r="M267" s="8" t="inlineStr">
        <is>
          <t>EPAN</t>
        </is>
      </c>
      <c r="N267" s="10" t="n">
        <v>5.308333333333334</v>
      </c>
      <c r="O267" s="11">
        <f>N267/G267-1</f>
        <v/>
      </c>
      <c r="P267" s="12" t="inlineStr">
        <is>
          <t>OK (≤ últ. compra)</t>
        </is>
      </c>
      <c r="Q267" s="8" t="inlineStr">
        <is>
          <t>conferir emb. (caixa c/ 6)</t>
        </is>
      </c>
    </row>
    <row r="268">
      <c r="A268" s="8" t="n">
        <v>641821</v>
      </c>
      <c r="B268" s="8" t="inlineStr">
        <is>
          <t>7897732609464</t>
        </is>
      </c>
      <c r="C268" s="8" t="inlineStr">
        <is>
          <t>PROPZINCO SPR MENTA 30ML</t>
        </is>
      </c>
      <c r="D268" s="9" t="n">
        <v>1</v>
      </c>
      <c r="E268" s="9" t="n">
        <v>2</v>
      </c>
      <c r="F268" s="9" t="n">
        <v>2</v>
      </c>
      <c r="G268" s="10" t="n">
        <v>8.029999999999999</v>
      </c>
      <c r="H268" s="10" t="n">
        <v>7.55</v>
      </c>
      <c r="I268" s="10" t="n"/>
      <c r="J268" s="10" t="n"/>
      <c r="K268" s="10" t="n"/>
      <c r="L268" s="10" t="n">
        <v>8.109999999999999</v>
      </c>
      <c r="M268" s="8" t="inlineStr">
        <is>
          <t>SEM COTAÇÃO</t>
        </is>
      </c>
      <c r="N268" s="10" t="n"/>
      <c r="O268" s="11" t="n"/>
      <c r="P268" s="8" t="inlineStr"/>
      <c r="Q268" s="8" t="inlineStr">
        <is>
          <t>sem estoque na Nazária</t>
        </is>
      </c>
    </row>
    <row r="269">
      <c r="A269" s="8" t="n">
        <v>623561</v>
      </c>
      <c r="B269" s="8" t="inlineStr">
        <is>
          <t>4005900921574</t>
        </is>
      </c>
      <c r="C269" s="8" t="inlineStr">
        <is>
          <t>PROT LABIAL COLOR VERMELHO 4,8G-DEMAIS PROD</t>
        </is>
      </c>
      <c r="D269" s="9" t="n">
        <v>1</v>
      </c>
      <c r="E269" s="9" t="n">
        <v>1</v>
      </c>
      <c r="F269" s="9" t="n">
        <v>1</v>
      </c>
      <c r="G269" s="10" t="n">
        <v>21.13</v>
      </c>
      <c r="H269" s="10" t="n">
        <v>21.13</v>
      </c>
      <c r="I269" s="10" t="n"/>
      <c r="J269" s="10" t="n"/>
      <c r="K269" s="10" t="n"/>
      <c r="L269" s="10" t="n"/>
      <c r="M269" s="8" t="inlineStr">
        <is>
          <t>SEM COTAÇÃO</t>
        </is>
      </c>
      <c r="N269" s="10" t="n"/>
      <c r="O269" s="11" t="n"/>
      <c r="P269" s="8" t="inlineStr"/>
      <c r="Q269" s="8" t="inlineStr"/>
    </row>
    <row r="270">
      <c r="A270" s="8" t="n">
        <v>566961</v>
      </c>
      <c r="B270" s="8" t="inlineStr">
        <is>
          <t>4005808555345</t>
        </is>
      </c>
      <c r="C270" s="8" t="inlineStr">
        <is>
          <t>PROT NIVEA SOLAR SUN PROT  HIDRAT FPS50 200ML</t>
        </is>
      </c>
      <c r="D270" s="9" t="n">
        <v>1</v>
      </c>
      <c r="E270" s="9" t="n">
        <v>2</v>
      </c>
      <c r="F270" s="9" t="n">
        <v>2</v>
      </c>
      <c r="G270" s="10" t="n">
        <v>50.005</v>
      </c>
      <c r="H270" s="10" t="n">
        <v>50.005</v>
      </c>
      <c r="I270" s="10" t="n">
        <v>41.52</v>
      </c>
      <c r="J270" s="10" t="n"/>
      <c r="K270" s="10" t="n"/>
      <c r="L270" s="10" t="n">
        <v>61.46</v>
      </c>
      <c r="M270" s="8" t="inlineStr">
        <is>
          <t>NAZARIA</t>
        </is>
      </c>
      <c r="N270" s="10" t="n">
        <v>61.46</v>
      </c>
      <c r="O270" s="11">
        <f>N270/G270-1</f>
        <v/>
      </c>
      <c r="P270" s="13" t="inlineStr">
        <is>
          <t>ACIMA +22.9% (vs últ. compra)</t>
        </is>
      </c>
      <c r="Q270" s="8" t="inlineStr">
        <is>
          <t>sem estoque no ePan</t>
        </is>
      </c>
    </row>
    <row r="271">
      <c r="A271" s="8" t="n">
        <v>556761</v>
      </c>
      <c r="B271" s="8" t="inlineStr">
        <is>
          <t>7891010250997</t>
        </is>
      </c>
      <c r="C271" s="8" t="inlineStr">
        <is>
          <t>PROTETOR SOLAR FACIAL FPS 70 NEUTROGENA SUN FRESH BISNAGA 40G</t>
        </is>
      </c>
      <c r="D271" s="9" t="n">
        <v>1</v>
      </c>
      <c r="E271" s="9" t="n">
        <v>2</v>
      </c>
      <c r="F271" s="9" t="n">
        <v>2</v>
      </c>
      <c r="G271" s="10" t="n">
        <v>53.95</v>
      </c>
      <c r="H271" s="10" t="n">
        <v>47.9967</v>
      </c>
      <c r="I271" s="10" t="n">
        <v>49.16</v>
      </c>
      <c r="J271" s="10" t="n"/>
      <c r="K271" s="10" t="n"/>
      <c r="L271" s="10" t="n">
        <v>58.7136</v>
      </c>
      <c r="M271" s="8" t="inlineStr">
        <is>
          <t>EPAN</t>
        </is>
      </c>
      <c r="N271" s="10" t="n">
        <v>49.16</v>
      </c>
      <c r="O271" s="11">
        <f>N271/G271-1</f>
        <v/>
      </c>
      <c r="P271" s="12" t="inlineStr">
        <is>
          <t>OK (≤ últ. compra)</t>
        </is>
      </c>
      <c r="Q271" s="8" t="inlineStr"/>
    </row>
    <row r="272">
      <c r="A272" s="8" t="n">
        <v>69341</v>
      </c>
      <c r="B272" s="8" t="inlineStr">
        <is>
          <t>7896206401610</t>
        </is>
      </c>
      <c r="C272" s="8" t="inlineStr">
        <is>
          <t>PULMICORT 0,25MG SUS EMBALAGEM FRACIONADA (5 FC)</t>
        </is>
      </c>
      <c r="D272" s="9" t="n">
        <v>4</v>
      </c>
      <c r="E272" s="9" t="n">
        <v>1</v>
      </c>
      <c r="F272" s="9" t="n">
        <v>4</v>
      </c>
      <c r="G272" s="10" t="n">
        <v>43.52225</v>
      </c>
      <c r="H272" s="10" t="n">
        <v>39.2025</v>
      </c>
      <c r="I272" s="10" t="n"/>
      <c r="J272" s="10" t="n"/>
      <c r="K272" s="10" t="n"/>
      <c r="L272" s="10" t="n">
        <v>42.76245</v>
      </c>
      <c r="M272" s="8" t="inlineStr">
        <is>
          <t>NAZARIA</t>
        </is>
      </c>
      <c r="N272" s="10" t="n">
        <v>42.76245</v>
      </c>
      <c r="O272" s="11">
        <f>N272/G272-1</f>
        <v/>
      </c>
      <c r="P272" s="12" t="inlineStr">
        <is>
          <t>OK (≤ últ. compra)</t>
        </is>
      </c>
      <c r="Q272" s="8" t="inlineStr"/>
    </row>
    <row r="273">
      <c r="A273" s="8" t="n">
        <v>69321</v>
      </c>
      <c r="B273" s="8" t="inlineStr">
        <is>
          <t>7896206402013</t>
        </is>
      </c>
      <c r="C273" s="8" t="inlineStr">
        <is>
          <t>PULMICORT 0,25MG SUS NEB CX 5 FR X 2ML</t>
        </is>
      </c>
      <c r="D273" s="9" t="n">
        <v>1</v>
      </c>
      <c r="E273" s="9" t="n">
        <v>1</v>
      </c>
      <c r="F273" s="9" t="n">
        <v>1</v>
      </c>
      <c r="G273" s="10" t="n">
        <v>41.0625</v>
      </c>
      <c r="H273" s="10" t="n">
        <v>39.12</v>
      </c>
      <c r="I273" s="10" t="n">
        <v>41.06</v>
      </c>
      <c r="J273" s="10" t="n">
        <v>42.7</v>
      </c>
      <c r="K273" s="10" t="n"/>
      <c r="L273" s="10" t="n">
        <v>42.6703</v>
      </c>
      <c r="M273" s="8" t="inlineStr">
        <is>
          <t>EPAN</t>
        </is>
      </c>
      <c r="N273" s="10" t="n">
        <v>41.06</v>
      </c>
      <c r="O273" s="11">
        <f>N273/G273-1</f>
        <v/>
      </c>
      <c r="P273" s="12" t="inlineStr">
        <is>
          <t>OK (≤ últ. compra)</t>
        </is>
      </c>
      <c r="Q273" s="8" t="inlineStr"/>
    </row>
    <row r="274">
      <c r="A274" s="8" t="n">
        <v>500261</v>
      </c>
      <c r="B274" s="8" t="inlineStr">
        <is>
          <t>7897595901033</t>
        </is>
      </c>
      <c r="C274" s="8" t="inlineStr">
        <is>
          <t>PURAN T4 100MCG CX 30 COMP</t>
        </is>
      </c>
      <c r="D274" s="9" t="n">
        <v>1</v>
      </c>
      <c r="E274" s="9" t="n">
        <v>2</v>
      </c>
      <c r="F274" s="9" t="n">
        <v>2</v>
      </c>
      <c r="G274" s="10" t="n">
        <v>12.286</v>
      </c>
      <c r="H274" s="10" t="n">
        <v>10.43</v>
      </c>
      <c r="I274" s="10" t="n">
        <v>12.28</v>
      </c>
      <c r="J274" s="10" t="n">
        <v>12.6</v>
      </c>
      <c r="K274" s="10" t="n">
        <v>12.59</v>
      </c>
      <c r="L274" s="10" t="n">
        <v>12.4992</v>
      </c>
      <c r="M274" s="8" t="inlineStr">
        <is>
          <t>EPAN</t>
        </is>
      </c>
      <c r="N274" s="10" t="n">
        <v>12.28</v>
      </c>
      <c r="O274" s="11">
        <f>N274/G274-1</f>
        <v/>
      </c>
      <c r="P274" s="12" t="inlineStr">
        <is>
          <t>OK (≤ últ. compra)</t>
        </is>
      </c>
      <c r="Q274" s="8" t="inlineStr">
        <is>
          <t>sem estoque na Nazária</t>
        </is>
      </c>
    </row>
    <row r="275">
      <c r="A275" s="8" t="n">
        <v>500281</v>
      </c>
      <c r="B275" s="8" t="inlineStr">
        <is>
          <t>7897595901446</t>
        </is>
      </c>
      <c r="C275" s="8" t="inlineStr">
        <is>
          <t>PURAN T4 125MCG CX 30 COMP</t>
        </is>
      </c>
      <c r="D275" s="9" t="n">
        <v>1</v>
      </c>
      <c r="E275" s="9" t="n">
        <v>5</v>
      </c>
      <c r="F275" s="9" t="n">
        <v>5</v>
      </c>
      <c r="G275" s="10" t="n">
        <v>19.265</v>
      </c>
      <c r="H275" s="10" t="n">
        <v>15.31</v>
      </c>
      <c r="I275" s="10" t="n">
        <v>18.03</v>
      </c>
      <c r="J275" s="10" t="n">
        <v>18.5</v>
      </c>
      <c r="K275" s="10" t="n"/>
      <c r="L275" s="10" t="n">
        <v>18.3456</v>
      </c>
      <c r="M275" s="8" t="inlineStr">
        <is>
          <t>SB LOG</t>
        </is>
      </c>
      <c r="N275" s="10" t="n">
        <v>18.5</v>
      </c>
      <c r="O275" s="11">
        <f>N275/G275-1</f>
        <v/>
      </c>
      <c r="P275" s="12" t="inlineStr">
        <is>
          <t>OK (≤ últ. compra)</t>
        </is>
      </c>
      <c r="Q275" s="8" t="inlineStr">
        <is>
          <t>sem estoque na Nazária; sem estoque no ePan</t>
        </is>
      </c>
    </row>
    <row r="276">
      <c r="A276" s="8" t="n">
        <v>500201</v>
      </c>
      <c r="B276" s="8" t="inlineStr">
        <is>
          <t>7897595901309</t>
        </is>
      </c>
      <c r="C276" s="8" t="inlineStr">
        <is>
          <t>PURAN T4 25MCG CX 30 COMP</t>
        </is>
      </c>
      <c r="D276" s="9" t="n">
        <v>1</v>
      </c>
      <c r="E276" s="9" t="n">
        <v>12</v>
      </c>
      <c r="F276" s="9" t="n">
        <v>12</v>
      </c>
      <c r="G276" s="10" t="n">
        <v>13.3466666666667</v>
      </c>
      <c r="H276" s="10" t="n">
        <v>11.0783</v>
      </c>
      <c r="I276" s="10" t="n"/>
      <c r="J276" s="10" t="n">
        <v>13.4</v>
      </c>
      <c r="K276" s="10" t="n">
        <v>13.36</v>
      </c>
      <c r="L276" s="10" t="n">
        <v>13.2672</v>
      </c>
      <c r="M276" s="8" t="inlineStr">
        <is>
          <t>NAZARIA</t>
        </is>
      </c>
      <c r="N276" s="10" t="n">
        <v>13.2672</v>
      </c>
      <c r="O276" s="11">
        <f>N276/G276-1</f>
        <v/>
      </c>
      <c r="P276" s="12" t="inlineStr">
        <is>
          <t>OK (≤ últ. compra)</t>
        </is>
      </c>
      <c r="Q276" s="8" t="inlineStr"/>
    </row>
    <row r="277">
      <c r="A277" s="8" t="n">
        <v>319641</v>
      </c>
      <c r="B277" s="8" t="inlineStr">
        <is>
          <t>7891058003562</t>
        </is>
      </c>
      <c r="C277" s="8" t="inlineStr">
        <is>
          <t>PURAN T4 37,5MCG CX 30 COMP</t>
        </is>
      </c>
      <c r="D277" s="9" t="n">
        <v>1</v>
      </c>
      <c r="E277" s="9" t="n">
        <v>4</v>
      </c>
      <c r="F277" s="9" t="n">
        <v>4</v>
      </c>
      <c r="G277" s="10" t="n">
        <v>8.255000000000001</v>
      </c>
      <c r="H277" s="10" t="n">
        <v>7.6</v>
      </c>
      <c r="I277" s="10" t="n">
        <v>8.26</v>
      </c>
      <c r="J277" s="10" t="n"/>
      <c r="K277" s="10" t="n"/>
      <c r="L277" s="10" t="n">
        <v>8.4</v>
      </c>
      <c r="M277" s="8" t="inlineStr">
        <is>
          <t>EPAN</t>
        </is>
      </c>
      <c r="N277" s="10" t="n">
        <v>8.26</v>
      </c>
      <c r="O277" s="11">
        <f>N277/G277-1</f>
        <v/>
      </c>
      <c r="P277" s="13" t="inlineStr">
        <is>
          <t>ACIMA +0.1% (vs últ. compra)</t>
        </is>
      </c>
      <c r="Q277" s="8" t="inlineStr"/>
    </row>
    <row r="278">
      <c r="A278" s="8" t="n">
        <v>500621</v>
      </c>
      <c r="B278" s="8" t="inlineStr">
        <is>
          <t>7891058003579</t>
        </is>
      </c>
      <c r="C278" s="8" t="inlineStr">
        <is>
          <t>PURAN T4 62,5MCG CX 30 COMP</t>
        </is>
      </c>
      <c r="D278" s="9" t="n">
        <v>1</v>
      </c>
      <c r="E278" s="9" t="n">
        <v>1</v>
      </c>
      <c r="F278" s="9" t="n">
        <v>1</v>
      </c>
      <c r="G278" s="10" t="n">
        <v>13.74</v>
      </c>
      <c r="H278" s="10" t="n">
        <v>12.655</v>
      </c>
      <c r="I278" s="10" t="n">
        <v>13.74</v>
      </c>
      <c r="J278" s="10" t="n"/>
      <c r="K278" s="10" t="n"/>
      <c r="L278" s="10" t="n">
        <v>13.9776</v>
      </c>
      <c r="M278" s="8" t="inlineStr">
        <is>
          <t>EPAN</t>
        </is>
      </c>
      <c r="N278" s="10" t="n">
        <v>13.74</v>
      </c>
      <c r="O278" s="11">
        <f>N278/G278-1</f>
        <v/>
      </c>
      <c r="P278" s="12" t="inlineStr">
        <is>
          <t>OK (≤ últ. compra)</t>
        </is>
      </c>
      <c r="Q278" s="8" t="inlineStr"/>
    </row>
    <row r="279">
      <c r="A279" s="8" t="n">
        <v>320961</v>
      </c>
      <c r="B279" s="8" t="inlineStr">
        <is>
          <t>7897595903365</t>
        </is>
      </c>
      <c r="C279" s="8" t="inlineStr">
        <is>
          <t>PURAN T4 88MCG CX 30 COMP</t>
        </is>
      </c>
      <c r="D279" s="9" t="n">
        <v>1</v>
      </c>
      <c r="E279" s="9" t="n">
        <v>5</v>
      </c>
      <c r="F279" s="9" t="n">
        <v>5</v>
      </c>
      <c r="G279" s="10" t="n">
        <v>19.51</v>
      </c>
      <c r="H279" s="10" t="n">
        <v>16.105</v>
      </c>
      <c r="I279" s="10" t="n">
        <v>18.98</v>
      </c>
      <c r="J279" s="10" t="n"/>
      <c r="K279" s="10" t="n"/>
      <c r="L279" s="10" t="n">
        <v>19.3056</v>
      </c>
      <c r="M279" s="8" t="inlineStr">
        <is>
          <t>SEM COTAÇÃO</t>
        </is>
      </c>
      <c r="N279" s="10" t="n"/>
      <c r="O279" s="11" t="n"/>
      <c r="P279" s="8" t="inlineStr"/>
      <c r="Q279" s="8" t="inlineStr">
        <is>
          <t>sem estoque na Nazária; sem estoque no ePan</t>
        </is>
      </c>
    </row>
    <row r="280">
      <c r="A280" s="8" t="n">
        <v>594241</v>
      </c>
      <c r="B280" s="8" t="inlineStr">
        <is>
          <t>7898636191079</t>
        </is>
      </c>
      <c r="C280" s="8" t="inlineStr">
        <is>
          <t>PV - ASEPXIA SAB LIQ ESFOLIANTE 100ML</t>
        </is>
      </c>
      <c r="D280" s="9" t="n">
        <v>1</v>
      </c>
      <c r="E280" s="9" t="n">
        <v>1</v>
      </c>
      <c r="F280" s="9" t="n">
        <v>1</v>
      </c>
      <c r="G280" s="10" t="n">
        <v>21.375</v>
      </c>
      <c r="H280" s="10" t="n">
        <v>21.375</v>
      </c>
      <c r="I280" s="10" t="n"/>
      <c r="J280" s="10" t="n"/>
      <c r="K280" s="10" t="n"/>
      <c r="L280" s="10" t="n"/>
      <c r="M280" s="8" t="inlineStr">
        <is>
          <t>SEM COTAÇÃO</t>
        </is>
      </c>
      <c r="N280" s="10" t="n"/>
      <c r="O280" s="11" t="n"/>
      <c r="P280" s="8" t="inlineStr"/>
      <c r="Q280" s="8" t="inlineStr"/>
    </row>
    <row r="281">
      <c r="A281" s="8" t="n">
        <v>509861</v>
      </c>
      <c r="B281" s="8" t="inlineStr">
        <is>
          <t>7896672203909</t>
        </is>
      </c>
      <c r="C281" s="8" t="inlineStr">
        <is>
          <t>PV - BRONCHO-VAXOM 3,5MG PO LIOF CX 10 CAP</t>
        </is>
      </c>
      <c r="D281" s="9" t="n">
        <v>1</v>
      </c>
      <c r="E281" s="9" t="n">
        <v>1</v>
      </c>
      <c r="F281" s="9" t="n">
        <v>1</v>
      </c>
      <c r="G281" s="10" t="n">
        <v>49.26</v>
      </c>
      <c r="H281" s="10" t="n">
        <v>49.26</v>
      </c>
      <c r="I281" s="10" t="n"/>
      <c r="J281" s="10" t="n"/>
      <c r="K281" s="10" t="n"/>
      <c r="L281" s="10" t="n">
        <v>53.7792</v>
      </c>
      <c r="M281" s="8" t="inlineStr">
        <is>
          <t>NAZARIA</t>
        </is>
      </c>
      <c r="N281" s="10" t="n">
        <v>53.7792</v>
      </c>
      <c r="O281" s="11">
        <f>N281/G281-1</f>
        <v/>
      </c>
      <c r="P281" s="13" t="inlineStr">
        <is>
          <t>ACIMA +9.2% (vs últ. compra)</t>
        </is>
      </c>
      <c r="Q281" s="8" t="inlineStr"/>
    </row>
    <row r="282">
      <c r="A282" s="8" t="n">
        <v>619551</v>
      </c>
      <c r="B282" s="8" t="inlineStr">
        <is>
          <t>3282779340274</t>
        </is>
      </c>
      <c r="C282" s="8" t="inlineStr">
        <is>
          <t>PV - KIT AVENE MAT PERFECT COR FPS60+CLEANANCE 40G</t>
        </is>
      </c>
      <c r="D282" s="9" t="n">
        <v>1</v>
      </c>
      <c r="E282" s="9" t="n">
        <v>1</v>
      </c>
      <c r="F282" s="9" t="n">
        <v>1</v>
      </c>
      <c r="G282" s="10" t="n">
        <v>77.02</v>
      </c>
      <c r="H282" s="10" t="n">
        <v>77.02</v>
      </c>
      <c r="I282" s="10" t="n"/>
      <c r="J282" s="10" t="n"/>
      <c r="K282" s="10" t="n"/>
      <c r="L282" s="10" t="n"/>
      <c r="M282" s="8" t="inlineStr">
        <is>
          <t>SEM COTAÇÃO</t>
        </is>
      </c>
      <c r="N282" s="10" t="n"/>
      <c r="O282" s="11" t="n"/>
      <c r="P282" s="8" t="inlineStr"/>
      <c r="Q282" s="8" t="inlineStr"/>
    </row>
    <row r="283">
      <c r="A283" s="8" t="n">
        <v>624261</v>
      </c>
      <c r="B283" s="8" t="inlineStr">
        <is>
          <t>7899706141062</t>
        </is>
      </c>
      <c r="C283" s="8" t="inlineStr">
        <is>
          <t>PV - LIPIKAR LRP AOX FPS60 200ML</t>
        </is>
      </c>
      <c r="D283" s="9" t="n">
        <v>1</v>
      </c>
      <c r="E283" s="9" t="n">
        <v>1</v>
      </c>
      <c r="F283" s="9" t="n">
        <v>1</v>
      </c>
      <c r="G283" s="10" t="n">
        <v>124.6</v>
      </c>
      <c r="H283" s="10" t="n">
        <v>124.6</v>
      </c>
      <c r="I283" s="10" t="n"/>
      <c r="J283" s="10" t="n"/>
      <c r="K283" s="10" t="n"/>
      <c r="L283" s="10" t="n"/>
      <c r="M283" s="8" t="inlineStr">
        <is>
          <t>SEM COTAÇÃO</t>
        </is>
      </c>
      <c r="N283" s="10" t="n"/>
      <c r="O283" s="11" t="n"/>
      <c r="P283" s="8" t="inlineStr"/>
      <c r="Q283" s="8" t="inlineStr"/>
    </row>
    <row r="284">
      <c r="A284" s="8" t="n">
        <v>290261</v>
      </c>
      <c r="B284" s="8" t="inlineStr">
        <is>
          <t>7894916510417</t>
        </is>
      </c>
      <c r="C284" s="8" t="inlineStr">
        <is>
          <t>PV - OLMY HCT 20+12,5MG CX 10 COMP REV</t>
        </is>
      </c>
      <c r="D284" s="9" t="n">
        <v>1</v>
      </c>
      <c r="E284" s="9" t="n">
        <v>1</v>
      </c>
      <c r="F284" s="9" t="n">
        <v>1</v>
      </c>
      <c r="G284" s="10" t="n">
        <v>49.1</v>
      </c>
      <c r="H284" s="10" t="n">
        <v>49.1</v>
      </c>
      <c r="I284" s="10" t="n">
        <v>51.02</v>
      </c>
      <c r="J284" s="10" t="n"/>
      <c r="K284" s="10" t="n"/>
      <c r="L284" s="10" t="n"/>
      <c r="M284" s="8" t="inlineStr">
        <is>
          <t>SEM COTAÇÃO</t>
        </is>
      </c>
      <c r="N284" s="10" t="n"/>
      <c r="O284" s="11" t="n"/>
      <c r="P284" s="8" t="inlineStr"/>
      <c r="Q284" s="8" t="inlineStr">
        <is>
          <t>sem estoque no ePan</t>
        </is>
      </c>
    </row>
    <row r="285">
      <c r="A285" s="8" t="n">
        <v>204261</v>
      </c>
      <c r="B285" s="8" t="inlineStr">
        <is>
          <t>7897337713382</t>
        </is>
      </c>
      <c r="C285" s="8" t="inlineStr">
        <is>
          <t>PV - PEROLA 0,075MG CX 28 COMP REV</t>
        </is>
      </c>
      <c r="D285" s="9" t="n">
        <v>1</v>
      </c>
      <c r="E285" s="9" t="n">
        <v>1</v>
      </c>
      <c r="F285" s="9" t="n">
        <v>1</v>
      </c>
      <c r="G285" s="10" t="n">
        <v>32.905</v>
      </c>
      <c r="H285" s="10" t="n">
        <v>32.905</v>
      </c>
      <c r="I285" s="10" t="n">
        <v>36.65</v>
      </c>
      <c r="J285" s="10" t="n">
        <v>36.8</v>
      </c>
      <c r="K285" s="10" t="n"/>
      <c r="L285" s="10" t="n">
        <v>35.2656</v>
      </c>
      <c r="M285" s="8" t="inlineStr">
        <is>
          <t>SB LOG</t>
        </is>
      </c>
      <c r="N285" s="10" t="n">
        <v>36.8</v>
      </c>
      <c r="O285" s="11">
        <f>N285/G285-1</f>
        <v/>
      </c>
      <c r="P285" s="13" t="inlineStr">
        <is>
          <t>ACIMA +11.8% (vs últ. compra)</t>
        </is>
      </c>
      <c r="Q285" s="8" t="inlineStr">
        <is>
          <t>sem estoque na Nazária; sem estoque no ePan</t>
        </is>
      </c>
    </row>
    <row r="286">
      <c r="A286" s="8" t="n">
        <v>594491</v>
      </c>
      <c r="B286" s="8" t="inlineStr">
        <is>
          <t>7891106914031</t>
        </is>
      </c>
      <c r="C286" s="8" t="inlineStr">
        <is>
          <t>PV - PRIMOGYNA 1MG CX 28 DRG</t>
        </is>
      </c>
      <c r="D286" s="9" t="n">
        <v>1</v>
      </c>
      <c r="E286" s="9" t="n">
        <v>1</v>
      </c>
      <c r="F286" s="9" t="n">
        <v>1</v>
      </c>
      <c r="G286" s="10" t="n">
        <v>43.04</v>
      </c>
      <c r="H286" s="10" t="n">
        <v>38.26</v>
      </c>
      <c r="I286" s="10" t="n"/>
      <c r="J286" s="10" t="n"/>
      <c r="K286" s="10" t="n"/>
      <c r="L286" s="10" t="n"/>
      <c r="M286" s="8" t="inlineStr">
        <is>
          <t>SEM COTAÇÃO</t>
        </is>
      </c>
      <c r="N286" s="10" t="n"/>
      <c r="O286" s="11" t="n"/>
      <c r="P286" s="8" t="inlineStr"/>
      <c r="Q286" s="8" t="inlineStr"/>
    </row>
    <row r="287">
      <c r="A287" s="8" t="n">
        <v>623721</v>
      </c>
      <c r="B287" s="8" t="inlineStr">
        <is>
          <t>7899706251068</t>
        </is>
      </c>
      <c r="C287" s="8" t="inlineStr">
        <is>
          <t>PV - SERUM FAC GARNIER ANTIAC 15ML</t>
        </is>
      </c>
      <c r="D287" s="9" t="n">
        <v>1</v>
      </c>
      <c r="E287" s="9" t="n">
        <v>1</v>
      </c>
      <c r="F287" s="9" t="n">
        <v>1</v>
      </c>
      <c r="G287" s="10" t="n">
        <v>49.18</v>
      </c>
      <c r="H287" s="10" t="n">
        <v>49.18</v>
      </c>
      <c r="I287" s="10" t="n"/>
      <c r="J287" s="10" t="n"/>
      <c r="K287" s="10" t="n"/>
      <c r="L287" s="10" t="n"/>
      <c r="M287" s="8" t="inlineStr">
        <is>
          <t>SEM COTAÇÃO</t>
        </is>
      </c>
      <c r="N287" s="10" t="n"/>
      <c r="O287" s="11" t="n"/>
      <c r="P287" s="8" t="inlineStr"/>
      <c r="Q287" s="8" t="inlineStr"/>
    </row>
    <row r="288">
      <c r="A288" s="8" t="n">
        <v>633741</v>
      </c>
      <c r="B288" s="8" t="inlineStr">
        <is>
          <t>7896112403227</t>
        </is>
      </c>
      <c r="C288" s="8" t="inlineStr">
        <is>
          <t>PV BETA GLUCANA DE LEVEDURA CX 3 CAP</t>
        </is>
      </c>
      <c r="D288" s="9" t="n">
        <v>1</v>
      </c>
      <c r="E288" s="9" t="n">
        <v>1</v>
      </c>
      <c r="F288" s="9" t="n">
        <v>1</v>
      </c>
      <c r="G288" s="10" t="n">
        <v>38.5341666666667</v>
      </c>
      <c r="H288" s="10" t="n">
        <v>38.5341666666667</v>
      </c>
      <c r="I288" s="10" t="n"/>
      <c r="J288" s="10" t="n"/>
      <c r="K288" s="10" t="n"/>
      <c r="L288" s="10" t="n"/>
      <c r="M288" s="8" t="inlineStr">
        <is>
          <t>SEM COTAÇÃO</t>
        </is>
      </c>
      <c r="N288" s="10" t="n"/>
      <c r="O288" s="11" t="n"/>
      <c r="P288" s="8" t="inlineStr"/>
      <c r="Q288" s="8" t="inlineStr"/>
    </row>
    <row r="289">
      <c r="A289" s="8" t="n">
        <v>623231</v>
      </c>
      <c r="B289" s="8" t="inlineStr">
        <is>
          <t>7899706197106</t>
        </is>
      </c>
      <c r="C289" s="8" t="inlineStr">
        <is>
          <t>PV DERMO REVITALIFT HIALU GEL PREENCH 50ML</t>
        </is>
      </c>
      <c r="D289" s="9" t="n">
        <v>1</v>
      </c>
      <c r="E289" s="9" t="n">
        <v>1</v>
      </c>
      <c r="F289" s="9" t="n">
        <v>1</v>
      </c>
      <c r="G289" s="10" t="n"/>
      <c r="H289" s="10" t="n"/>
      <c r="I289" s="10" t="n"/>
      <c r="J289" s="10" t="n"/>
      <c r="K289" s="10" t="n"/>
      <c r="L289" s="10" t="n"/>
      <c r="M289" s="8" t="inlineStr">
        <is>
          <t>SEM COTAÇÃO</t>
        </is>
      </c>
      <c r="N289" s="10" t="n"/>
      <c r="O289" s="11" t="n"/>
      <c r="P289" s="8" t="inlineStr"/>
      <c r="Q289" s="8" t="inlineStr"/>
    </row>
    <row r="290">
      <c r="A290" s="8" t="n">
        <v>205741</v>
      </c>
      <c r="B290" s="8" t="inlineStr">
        <is>
          <t>7891317177645</t>
        </is>
      </c>
      <c r="C290" s="8" t="inlineStr">
        <is>
          <t>PV PRIMERA 0,150+0,020MG CX 21 COMP</t>
        </is>
      </c>
      <c r="D290" s="9" t="n">
        <v>1</v>
      </c>
      <c r="E290" s="9" t="n">
        <v>1</v>
      </c>
      <c r="F290" s="9" t="n">
        <v>1</v>
      </c>
      <c r="G290" s="10" t="n">
        <v>32.16</v>
      </c>
      <c r="H290" s="10" t="n">
        <v>29.69</v>
      </c>
      <c r="I290" s="10" t="n"/>
      <c r="J290" s="10" t="n">
        <v>33.2</v>
      </c>
      <c r="K290" s="10" t="n">
        <v>32.16</v>
      </c>
      <c r="L290" s="10" t="n">
        <v>32.8416</v>
      </c>
      <c r="M290" s="8" t="inlineStr">
        <is>
          <t>TAPAJOS</t>
        </is>
      </c>
      <c r="N290" s="10" t="n">
        <v>32.16</v>
      </c>
      <c r="O290" s="11">
        <f>N290/G290-1</f>
        <v/>
      </c>
      <c r="P290" s="12" t="inlineStr">
        <is>
          <t>OK (≤ últ. compra)</t>
        </is>
      </c>
      <c r="Q290" s="8" t="inlineStr"/>
    </row>
    <row r="291">
      <c r="A291" s="8" t="n">
        <v>652031</v>
      </c>
      <c r="B291" s="8" t="inlineStr">
        <is>
          <t>7896094211438</t>
        </is>
      </c>
      <c r="C291" s="8" t="inlineStr">
        <is>
          <t>PV UMIDITA CALM CR 45G</t>
        </is>
      </c>
      <c r="D291" s="9" t="n">
        <v>1</v>
      </c>
      <c r="E291" s="9" t="n">
        <v>1</v>
      </c>
      <c r="F291" s="9" t="n">
        <v>1</v>
      </c>
      <c r="G291" s="10" t="n">
        <v>44.53</v>
      </c>
      <c r="H291" s="10" t="n">
        <v>44.53</v>
      </c>
      <c r="I291" s="10" t="n"/>
      <c r="J291" s="10" t="n"/>
      <c r="K291" s="10" t="n"/>
      <c r="L291" s="10" t="n"/>
      <c r="M291" s="8" t="inlineStr">
        <is>
          <t>SEM COTAÇÃO</t>
        </is>
      </c>
      <c r="N291" s="10" t="n"/>
      <c r="O291" s="11" t="n"/>
      <c r="P291" s="8" t="inlineStr"/>
      <c r="Q291" s="8" t="inlineStr"/>
    </row>
    <row r="292">
      <c r="A292" s="8" t="n">
        <v>204241</v>
      </c>
      <c r="B292" s="8" t="inlineStr">
        <is>
          <t>7897337713399</t>
        </is>
      </c>
      <c r="C292" s="8" t="inlineStr">
        <is>
          <t>PV- PEROLA 0,075MG (CARTELA) C/28CP</t>
        </is>
      </c>
      <c r="D292" s="9" t="n">
        <v>1</v>
      </c>
      <c r="E292" s="9" t="n">
        <v>1</v>
      </c>
      <c r="F292" s="9" t="n">
        <v>1</v>
      </c>
      <c r="G292" s="10" t="n">
        <v>86.43000000000001</v>
      </c>
      <c r="H292" s="10" t="n">
        <v>86.43000000000001</v>
      </c>
      <c r="I292" s="10" t="n"/>
      <c r="J292" s="10" t="n"/>
      <c r="K292" s="10" t="n"/>
      <c r="L292" s="10" t="n">
        <v>92.628</v>
      </c>
      <c r="M292" s="8" t="inlineStr">
        <is>
          <t>NAZARIA</t>
        </is>
      </c>
      <c r="N292" s="10" t="n">
        <v>92.628</v>
      </c>
      <c r="O292" s="11">
        <f>N292/G292-1</f>
        <v/>
      </c>
      <c r="P292" s="13" t="inlineStr">
        <is>
          <t>ACIMA +7.2% (vs últ. compra)</t>
        </is>
      </c>
      <c r="Q292" s="8" t="inlineStr"/>
    </row>
    <row r="293">
      <c r="A293" s="8" t="n">
        <v>649771</v>
      </c>
      <c r="B293" s="8" t="inlineStr">
        <is>
          <t>7896676440492</t>
        </is>
      </c>
      <c r="C293" s="8" t="inlineStr">
        <is>
          <t>PVV - CUTISANOL BABY CREME 120G-DEMAIS PROD</t>
        </is>
      </c>
      <c r="D293" s="9" t="n">
        <v>1</v>
      </c>
      <c r="E293" s="9" t="n">
        <v>1</v>
      </c>
      <c r="F293" s="9" t="n">
        <v>1</v>
      </c>
      <c r="G293" s="10" t="n">
        <v>33.0066666666667</v>
      </c>
      <c r="H293" s="10" t="n">
        <v>33.0066666666667</v>
      </c>
      <c r="I293" s="10" t="n"/>
      <c r="J293" s="10" t="n"/>
      <c r="K293" s="10" t="n"/>
      <c r="L293" s="10" t="n">
        <v>47.54555000000001</v>
      </c>
      <c r="M293" s="8" t="inlineStr">
        <is>
          <t>NAZARIA</t>
        </is>
      </c>
      <c r="N293" s="10" t="n">
        <v>47.54555000000001</v>
      </c>
      <c r="O293" s="11">
        <f>N293/G293-1</f>
        <v/>
      </c>
      <c r="P293" s="13" t="inlineStr">
        <is>
          <t>ACIMA +44.0% (vs últ. compra)</t>
        </is>
      </c>
      <c r="Q293" s="8" t="inlineStr"/>
    </row>
    <row r="294">
      <c r="A294" s="8" t="n">
        <v>514881</v>
      </c>
      <c r="B294" s="8" t="inlineStr">
        <is>
          <t>7891317010478</t>
        </is>
      </c>
      <c r="C294" s="8" t="inlineStr">
        <is>
          <t>PVV - EBASTEL 10MG CX 30 COMP REV</t>
        </is>
      </c>
      <c r="D294" s="9" t="n">
        <v>1</v>
      </c>
      <c r="E294" s="9" t="n">
        <v>1</v>
      </c>
      <c r="F294" s="9" t="n">
        <v>1</v>
      </c>
      <c r="G294" s="10" t="n">
        <v>51.51</v>
      </c>
      <c r="H294" s="10" t="n">
        <v>51.51</v>
      </c>
      <c r="I294" s="10" t="n"/>
      <c r="J294" s="10" t="n"/>
      <c r="K294" s="10" t="n"/>
      <c r="L294" s="10" t="n"/>
      <c r="M294" s="8" t="inlineStr">
        <is>
          <t>SEM COTAÇÃO</t>
        </is>
      </c>
      <c r="N294" s="10" t="n"/>
      <c r="O294" s="11" t="n"/>
      <c r="P294" s="8" t="inlineStr"/>
      <c r="Q294" s="8" t="inlineStr"/>
    </row>
    <row r="295">
      <c r="A295" s="8" t="n">
        <v>654181</v>
      </c>
      <c r="B295" s="8" t="inlineStr">
        <is>
          <t>7896112409625</t>
        </is>
      </c>
      <c r="C295" s="8" t="inlineStr">
        <is>
          <t>PVV - FLY GOTAS 150MG LAR 15ML</t>
        </is>
      </c>
      <c r="D295" s="9" t="n">
        <v>1</v>
      </c>
      <c r="E295" s="9" t="n">
        <v>1</v>
      </c>
      <c r="F295" s="9" t="n">
        <v>1</v>
      </c>
      <c r="G295" s="10" t="n">
        <v>28.935</v>
      </c>
      <c r="H295" s="10" t="n">
        <v>28.935</v>
      </c>
      <c r="I295" s="10" t="n"/>
      <c r="J295" s="10" t="n"/>
      <c r="K295" s="10" t="n"/>
      <c r="L295" s="10" t="n">
        <v>20.74</v>
      </c>
      <c r="M295" s="8" t="inlineStr">
        <is>
          <t>NAZARIA</t>
        </is>
      </c>
      <c r="N295" s="10" t="n">
        <v>20.74</v>
      </c>
      <c r="O295" s="11">
        <f>N295/G295-1</f>
        <v/>
      </c>
      <c r="P295" s="12" t="inlineStr">
        <is>
          <t>OK (≤ menor hist.)</t>
        </is>
      </c>
      <c r="Q295" s="8" t="inlineStr"/>
    </row>
    <row r="296">
      <c r="A296" s="8" t="n">
        <v>578761</v>
      </c>
      <c r="B296" s="8" t="inlineStr">
        <is>
          <t>7898639690418</t>
        </is>
      </c>
      <c r="C296" s="8" t="inlineStr">
        <is>
          <t>PVV - TERMOMETRO DIGITAL CLINICO TH1027</t>
        </is>
      </c>
      <c r="D296" s="9" t="n">
        <v>1</v>
      </c>
      <c r="E296" s="9" t="n">
        <v>3</v>
      </c>
      <c r="F296" s="9" t="n">
        <v>3</v>
      </c>
      <c r="G296" s="10" t="n">
        <v>8.082000000000001</v>
      </c>
      <c r="H296" s="10" t="n">
        <v>8.08</v>
      </c>
      <c r="I296" s="10" t="n">
        <v>9.5</v>
      </c>
      <c r="J296" s="10" t="n"/>
      <c r="K296" s="10" t="n"/>
      <c r="L296" s="10" t="n"/>
      <c r="M296" s="8" t="inlineStr">
        <is>
          <t>EPAN</t>
        </is>
      </c>
      <c r="N296" s="10" t="n">
        <v>9.5</v>
      </c>
      <c r="O296" s="11">
        <f>N296/G296-1</f>
        <v/>
      </c>
      <c r="P296" s="13" t="inlineStr">
        <is>
          <t>ACIMA +17.5% (vs últ. compra)</t>
        </is>
      </c>
      <c r="Q296" s="8" t="inlineStr"/>
    </row>
    <row r="297">
      <c r="A297" s="8" t="n">
        <v>146041</v>
      </c>
      <c r="B297" s="8" t="inlineStr">
        <is>
          <t>7892953001370</t>
        </is>
      </c>
      <c r="C297" s="8" t="inlineStr">
        <is>
          <t>PYRIDIUM 100MG CX 25 COMP REV</t>
        </is>
      </c>
      <c r="D297" s="9" t="n">
        <v>1</v>
      </c>
      <c r="E297" s="9" t="n">
        <v>1</v>
      </c>
      <c r="F297" s="9" t="n">
        <v>1</v>
      </c>
      <c r="G297" s="10" t="n">
        <v>20.171</v>
      </c>
      <c r="H297" s="10" t="n">
        <v>15.5345</v>
      </c>
      <c r="I297" s="10" t="n"/>
      <c r="J297" s="10" t="n">
        <v>21.9</v>
      </c>
      <c r="K297" s="10" t="n">
        <v>21.22</v>
      </c>
      <c r="L297" s="10" t="n">
        <v>19.1845</v>
      </c>
      <c r="M297" s="8" t="inlineStr">
        <is>
          <t>NAZARIA</t>
        </is>
      </c>
      <c r="N297" s="10" t="n">
        <v>19.1845</v>
      </c>
      <c r="O297" s="11">
        <f>N297/G297-1</f>
        <v/>
      </c>
      <c r="P297" s="12" t="inlineStr">
        <is>
          <t>OK (≤ últ. compra)</t>
        </is>
      </c>
      <c r="Q297" s="8" t="inlineStr"/>
    </row>
    <row r="298">
      <c r="A298" s="8" t="n">
        <v>146061</v>
      </c>
      <c r="B298" s="8" t="inlineStr">
        <is>
          <t>7892953001387</t>
        </is>
      </c>
      <c r="C298" s="8" t="inlineStr">
        <is>
          <t>PYRIDIUM 200MG CX 18 COMP REV</t>
        </is>
      </c>
      <c r="D298" s="9" t="n">
        <v>1</v>
      </c>
      <c r="E298" s="9" t="n">
        <v>2</v>
      </c>
      <c r="F298" s="9" t="n">
        <v>2</v>
      </c>
      <c r="G298" s="10" t="n">
        <v>24.21</v>
      </c>
      <c r="H298" s="10" t="n">
        <v>19.4555</v>
      </c>
      <c r="I298" s="10" t="n"/>
      <c r="J298" s="10" t="n">
        <v>26.3</v>
      </c>
      <c r="K298" s="10" t="n">
        <v>25.46</v>
      </c>
      <c r="L298" s="10" t="n">
        <v>23.0265</v>
      </c>
      <c r="M298" s="8" t="inlineStr">
        <is>
          <t>NAZARIA</t>
        </is>
      </c>
      <c r="N298" s="10" t="n">
        <v>23.0265</v>
      </c>
      <c r="O298" s="11">
        <f>N298/G298-1</f>
        <v/>
      </c>
      <c r="P298" s="12" t="inlineStr">
        <is>
          <t>OK (≤ últ. compra)</t>
        </is>
      </c>
      <c r="Q298" s="8" t="inlineStr"/>
    </row>
    <row r="299">
      <c r="A299" s="8" t="n">
        <v>485721</v>
      </c>
      <c r="B299" s="8" t="inlineStr">
        <is>
          <t>7908020502722</t>
        </is>
      </c>
      <c r="C299" s="8" t="inlineStr">
        <is>
          <t>PYVERM 100MG CX 6 COMP REV</t>
        </is>
      </c>
      <c r="D299" s="9" t="n">
        <v>1</v>
      </c>
      <c r="E299" s="9" t="n">
        <v>1</v>
      </c>
      <c r="F299" s="9" t="n">
        <v>1</v>
      </c>
      <c r="G299" s="10" t="n">
        <v>24.08</v>
      </c>
      <c r="H299" s="10" t="n">
        <v>24.08</v>
      </c>
      <c r="I299" s="10" t="n"/>
      <c r="J299" s="10" t="n"/>
      <c r="K299" s="10" t="n"/>
      <c r="L299" s="10" t="n"/>
      <c r="M299" s="8" t="inlineStr">
        <is>
          <t>SEM COTAÇÃO</t>
        </is>
      </c>
      <c r="N299" s="10" t="n"/>
      <c r="O299" s="11" t="n"/>
      <c r="P299" s="8" t="inlineStr"/>
      <c r="Q299" s="8" t="inlineStr"/>
    </row>
    <row r="300">
      <c r="A300" s="8" t="n">
        <v>658161</v>
      </c>
      <c r="B300" s="8" t="inlineStr">
        <is>
          <t>7898638348730</t>
        </is>
      </c>
      <c r="C300" s="8" t="inlineStr">
        <is>
          <t>Q+VITTA AZ 500MG 60CP</t>
        </is>
      </c>
      <c r="D300" s="9" t="n">
        <v>1</v>
      </c>
      <c r="E300" s="9" t="n">
        <v>1</v>
      </c>
      <c r="F300" s="9" t="n">
        <v>1</v>
      </c>
      <c r="G300" s="10" t="n">
        <v>13.59</v>
      </c>
      <c r="H300" s="10" t="n">
        <v>13.59</v>
      </c>
      <c r="I300" s="10" t="n"/>
      <c r="J300" s="10" t="n"/>
      <c r="K300" s="10" t="n"/>
      <c r="L300" s="10" t="n"/>
      <c r="M300" s="8" t="inlineStr">
        <is>
          <t>SEM COTAÇÃO</t>
        </is>
      </c>
      <c r="N300" s="10" t="n"/>
      <c r="O300" s="11" t="n"/>
      <c r="P300" s="8" t="inlineStr"/>
      <c r="Q300" s="8" t="inlineStr"/>
    </row>
    <row r="301">
      <c r="A301" s="8" t="n">
        <v>657991</v>
      </c>
      <c r="B301" s="8" t="inlineStr">
        <is>
          <t>7898638348747</t>
        </is>
      </c>
      <c r="C301" s="8" t="inlineStr">
        <is>
          <t>Q+VITTA AZ HOMEM 500MG 60CPS</t>
        </is>
      </c>
      <c r="D301" s="9" t="n">
        <v>1</v>
      </c>
      <c r="E301" s="9" t="n">
        <v>2</v>
      </c>
      <c r="F301" s="9" t="n">
        <v>2</v>
      </c>
      <c r="G301" s="10" t="n">
        <v>14.9866666666667</v>
      </c>
      <c r="H301" s="10" t="n">
        <v>14.9866666666667</v>
      </c>
      <c r="I301" s="10" t="n"/>
      <c r="J301" s="10" t="n"/>
      <c r="K301" s="10" t="n"/>
      <c r="L301" s="10" t="n"/>
      <c r="M301" s="8" t="inlineStr">
        <is>
          <t>SEM COTAÇÃO</t>
        </is>
      </c>
      <c r="N301" s="10" t="n"/>
      <c r="O301" s="11" t="n"/>
      <c r="P301" s="8" t="inlineStr"/>
      <c r="Q301" s="8" t="inlineStr"/>
    </row>
    <row r="302">
      <c r="A302" s="8" t="n">
        <v>650281</v>
      </c>
      <c r="B302" s="8" t="inlineStr">
        <is>
          <t>7898638348754</t>
        </is>
      </c>
      <c r="C302" s="8" t="inlineStr">
        <is>
          <t>Q+VITTA AZ MULHER 500MG 60CPS</t>
        </is>
      </c>
      <c r="D302" s="9" t="n">
        <v>1</v>
      </c>
      <c r="E302" s="9" t="n">
        <v>2</v>
      </c>
      <c r="F302" s="9" t="n">
        <v>2</v>
      </c>
      <c r="G302" s="10" t="n">
        <v>14.9866666666667</v>
      </c>
      <c r="H302" s="10" t="n">
        <v>14.9866666666667</v>
      </c>
      <c r="I302" s="10" t="n"/>
      <c r="J302" s="10" t="n"/>
      <c r="K302" s="10" t="n"/>
      <c r="L302" s="10" t="n"/>
      <c r="M302" s="8" t="inlineStr">
        <is>
          <t>SEM COTAÇÃO</t>
        </is>
      </c>
      <c r="N302" s="10" t="n"/>
      <c r="O302" s="11" t="n"/>
      <c r="P302" s="8" t="inlineStr"/>
      <c r="Q302" s="8" t="inlineStr"/>
    </row>
    <row r="303">
      <c r="A303" s="8" t="n">
        <v>657981</v>
      </c>
      <c r="B303" s="8" t="inlineStr">
        <is>
          <t>7898638348785</t>
        </is>
      </c>
      <c r="C303" s="8" t="inlineStr">
        <is>
          <t>Q+VITTA CALCIO MDK 500MG 60CAPS</t>
        </is>
      </c>
      <c r="D303" s="9" t="n">
        <v>1</v>
      </c>
      <c r="E303" s="9" t="n">
        <v>1</v>
      </c>
      <c r="F303" s="9" t="n">
        <v>1</v>
      </c>
      <c r="G303" s="10" t="n">
        <v>21.1916666666667</v>
      </c>
      <c r="H303" s="10" t="n">
        <v>21.1916666666667</v>
      </c>
      <c r="I303" s="10" t="n"/>
      <c r="J303" s="10" t="n"/>
      <c r="K303" s="10" t="n"/>
      <c r="L303" s="10" t="n"/>
      <c r="M303" s="8" t="inlineStr">
        <is>
          <t>SEM COTAÇÃO</t>
        </is>
      </c>
      <c r="N303" s="10" t="n"/>
      <c r="O303" s="11" t="n"/>
      <c r="P303" s="8" t="inlineStr"/>
      <c r="Q303" s="8" t="inlineStr"/>
    </row>
    <row r="304">
      <c r="A304" s="8" t="n">
        <v>622891</v>
      </c>
      <c r="B304" s="8" t="inlineStr">
        <is>
          <t>7891106908535</t>
        </is>
      </c>
      <c r="C304" s="8" t="inlineStr">
        <is>
          <t>REDOXITOS LARANJA 25 UNIDADES-DEMAIS PROD</t>
        </is>
      </c>
      <c r="D304" s="9" t="n">
        <v>1</v>
      </c>
      <c r="E304" s="9" t="n">
        <v>1</v>
      </c>
      <c r="F304" s="9" t="n">
        <v>1</v>
      </c>
      <c r="G304" s="10" t="n">
        <v>16.18</v>
      </c>
      <c r="H304" s="10" t="n">
        <v>14.7067</v>
      </c>
      <c r="I304" s="10" t="n"/>
      <c r="J304" s="10" t="n"/>
      <c r="K304" s="10" t="n"/>
      <c r="L304" s="10" t="n">
        <v>16.58</v>
      </c>
      <c r="M304" s="8" t="inlineStr">
        <is>
          <t>NAZARIA</t>
        </is>
      </c>
      <c r="N304" s="10" t="n">
        <v>16.58</v>
      </c>
      <c r="O304" s="11">
        <f>N304/G304-1</f>
        <v/>
      </c>
      <c r="P304" s="13" t="inlineStr">
        <is>
          <t>ACIMA +2.5% (vs últ. compra)</t>
        </is>
      </c>
      <c r="Q304" s="8" t="inlineStr"/>
    </row>
    <row r="305">
      <c r="A305" s="8" t="n">
        <v>14581</v>
      </c>
      <c r="B305" s="8" t="inlineStr">
        <is>
          <t>7891106006279</t>
        </is>
      </c>
      <c r="C305" s="8" t="inlineStr">
        <is>
          <t>REDOXON 1G TB 10 COMP EFEV SB LARANJA</t>
        </is>
      </c>
      <c r="D305" s="9" t="n">
        <v>1</v>
      </c>
      <c r="E305" s="9" t="n">
        <v>1</v>
      </c>
      <c r="F305" s="9" t="n">
        <v>1</v>
      </c>
      <c r="G305" s="10" t="n">
        <v>13.47</v>
      </c>
      <c r="H305" s="10" t="n">
        <v>13.47</v>
      </c>
      <c r="I305" s="10" t="n"/>
      <c r="J305" s="10" t="n">
        <v>13.9</v>
      </c>
      <c r="K305" s="10" t="n">
        <v>13.47</v>
      </c>
      <c r="L305" s="10" t="n">
        <v>18.2838</v>
      </c>
      <c r="M305" s="8" t="inlineStr">
        <is>
          <t>TAPAJOS</t>
        </is>
      </c>
      <c r="N305" s="10" t="n">
        <v>13.47</v>
      </c>
      <c r="O305" s="11">
        <f>N305/G305-1</f>
        <v/>
      </c>
      <c r="P305" s="12" t="inlineStr">
        <is>
          <t>OK (≤ menor hist.)</t>
        </is>
      </c>
      <c r="Q305" s="8" t="inlineStr"/>
    </row>
    <row r="306">
      <c r="A306" s="8" t="n">
        <v>14601</v>
      </c>
      <c r="B306" s="8" t="inlineStr">
        <is>
          <t>7891106006286</t>
        </is>
      </c>
      <c r="C306" s="8" t="inlineStr">
        <is>
          <t>REDOXON 200MG/ML SOL ORAL FR GTS 20ML</t>
        </is>
      </c>
      <c r="D306" s="9" t="n">
        <v>1</v>
      </c>
      <c r="E306" s="9" t="n">
        <v>19</v>
      </c>
      <c r="F306" s="9" t="n">
        <v>19</v>
      </c>
      <c r="G306" s="10" t="n">
        <v>17.1093333333333</v>
      </c>
      <c r="H306" s="10" t="n">
        <v>13.572</v>
      </c>
      <c r="I306" s="10" t="n">
        <v>17.11</v>
      </c>
      <c r="J306" s="10" t="n">
        <v>19</v>
      </c>
      <c r="K306" s="10" t="n">
        <v>18.42</v>
      </c>
      <c r="L306" s="10" t="n">
        <v>19.61</v>
      </c>
      <c r="M306" s="8" t="inlineStr">
        <is>
          <t>EPAN</t>
        </is>
      </c>
      <c r="N306" s="10" t="n">
        <v>17.11</v>
      </c>
      <c r="O306" s="11">
        <f>N306/G306-1</f>
        <v/>
      </c>
      <c r="P306" s="13" t="inlineStr">
        <is>
          <t>ACIMA +0.0% (vs últ. compra)</t>
        </is>
      </c>
      <c r="Q306" s="8" t="inlineStr"/>
    </row>
    <row r="307">
      <c r="A307" s="8" t="n">
        <v>565941</v>
      </c>
      <c r="B307" s="8" t="inlineStr">
        <is>
          <t>7891106912655</t>
        </is>
      </c>
      <c r="C307" s="8" t="inlineStr">
        <is>
          <t>REDOXON TRIPLA ACAO 10CP EFERV</t>
        </is>
      </c>
      <c r="D307" s="9" t="n">
        <v>1</v>
      </c>
      <c r="E307" s="9" t="n">
        <v>5</v>
      </c>
      <c r="F307" s="9" t="n">
        <v>5</v>
      </c>
      <c r="G307" s="10" t="n">
        <v>14.155</v>
      </c>
      <c r="H307" s="10" t="n">
        <v>11.2925</v>
      </c>
      <c r="I307" s="10" t="n">
        <v>13.55</v>
      </c>
      <c r="J307" s="10" t="n">
        <v>17.8</v>
      </c>
      <c r="K307" s="10" t="n">
        <v>14.57</v>
      </c>
      <c r="L307" s="10" t="n">
        <v>17.0283</v>
      </c>
      <c r="M307" s="8" t="inlineStr">
        <is>
          <t>EPAN</t>
        </is>
      </c>
      <c r="N307" s="10" t="n">
        <v>13.55</v>
      </c>
      <c r="O307" s="11">
        <f>N307/G307-1</f>
        <v/>
      </c>
      <c r="P307" s="12" t="inlineStr">
        <is>
          <t>OK (≤ últ. compra)</t>
        </is>
      </c>
      <c r="Q307" s="8" t="inlineStr"/>
    </row>
    <row r="308">
      <c r="A308" s="8" t="n">
        <v>664401</v>
      </c>
      <c r="B308" s="8" t="inlineStr">
        <is>
          <t>7899420508370</t>
        </is>
      </c>
      <c r="C308" s="8" t="inlineStr">
        <is>
          <t>RENOVI B PLUS 5+100+100+4,3MG SOL INJ 3 DOSES AMP</t>
        </is>
      </c>
      <c r="D308" s="9" t="n">
        <v>1</v>
      </c>
      <c r="E308" s="9" t="n">
        <v>1</v>
      </c>
      <c r="F308" s="9" t="n">
        <v>1</v>
      </c>
      <c r="G308" s="10" t="n">
        <v>37.9566666666667</v>
      </c>
      <c r="H308" s="10" t="n">
        <v>37.9566666666667</v>
      </c>
      <c r="I308" s="10" t="n"/>
      <c r="J308" s="10" t="n"/>
      <c r="K308" s="10" t="n"/>
      <c r="L308" s="10" t="n">
        <v>39.7248</v>
      </c>
      <c r="M308" s="8" t="inlineStr">
        <is>
          <t>NAZARIA</t>
        </is>
      </c>
      <c r="N308" s="10" t="n">
        <v>39.7248</v>
      </c>
      <c r="O308" s="11">
        <f>N308/G308-1</f>
        <v/>
      </c>
      <c r="P308" s="13" t="inlineStr">
        <is>
          <t>ACIMA +4.7% (vs últ. compra)</t>
        </is>
      </c>
      <c r="Q308" s="8" t="inlineStr"/>
    </row>
    <row r="309">
      <c r="A309" s="8" t="n">
        <v>647811</v>
      </c>
      <c r="B309" s="8" t="inlineStr">
        <is>
          <t>7896046390020</t>
        </is>
      </c>
      <c r="C309" s="8" t="inlineStr">
        <is>
          <t>RENU FRESH SOLUCAO 60ML-DEMAIS PROD</t>
        </is>
      </c>
      <c r="D309" s="9" t="n">
        <v>1</v>
      </c>
      <c r="E309" s="9" t="n">
        <v>3</v>
      </c>
      <c r="F309" s="9" t="n">
        <v>3</v>
      </c>
      <c r="G309" s="10" t="n">
        <v>22.2</v>
      </c>
      <c r="H309" s="10" t="n">
        <v>19.3111</v>
      </c>
      <c r="I309" s="10" t="n">
        <v>20.52</v>
      </c>
      <c r="J309" s="10" t="n"/>
      <c r="K309" s="10" t="n"/>
      <c r="L309" s="10" t="n">
        <v>25.54</v>
      </c>
      <c r="M309" s="8" t="inlineStr">
        <is>
          <t>EPAN</t>
        </is>
      </c>
      <c r="N309" s="10" t="n">
        <v>20.52</v>
      </c>
      <c r="O309" s="11">
        <f>N309/G309-1</f>
        <v/>
      </c>
      <c r="P309" s="12" t="inlineStr">
        <is>
          <t>OK (≤ últ. compra)</t>
        </is>
      </c>
      <c r="Q309" s="8" t="inlineStr"/>
    </row>
    <row r="310">
      <c r="A310" s="8" t="n">
        <v>553</v>
      </c>
      <c r="B310" s="8" t="inlineStr">
        <is>
          <t>310119033227</t>
        </is>
      </c>
      <c r="C310" s="8" t="inlineStr">
        <is>
          <t>RENU PLUS SOL MULTI-USO S/ FRICCAO FR 120ML (+12% IPI)</t>
        </is>
      </c>
      <c r="D310" s="9" t="n">
        <v>1</v>
      </c>
      <c r="E310" s="9" t="n">
        <v>1</v>
      </c>
      <c r="F310" s="9" t="n">
        <v>1</v>
      </c>
      <c r="G310" s="10" t="n">
        <v>37.74</v>
      </c>
      <c r="H310" s="10" t="n">
        <v>31.97</v>
      </c>
      <c r="I310" s="10" t="n"/>
      <c r="J310" s="10" t="n"/>
      <c r="K310" s="10" t="n"/>
      <c r="L310" s="10" t="n">
        <v>40.8054</v>
      </c>
      <c r="M310" s="8" t="inlineStr">
        <is>
          <t>NAZARIA</t>
        </is>
      </c>
      <c r="N310" s="10" t="n">
        <v>40.8054</v>
      </c>
      <c r="O310" s="11">
        <f>N310/G310-1</f>
        <v/>
      </c>
      <c r="P310" s="13" t="inlineStr">
        <is>
          <t>ACIMA +8.1% (vs últ. compra)</t>
        </is>
      </c>
      <c r="Q310" s="8" t="inlineStr"/>
    </row>
    <row r="311">
      <c r="A311" s="8" t="n">
        <v>431061</v>
      </c>
      <c r="B311" s="8" t="inlineStr">
        <is>
          <t>7898560661563</t>
        </is>
      </c>
      <c r="C311" s="8" t="inlineStr">
        <is>
          <t>REPARIL 10+50MG/G GEL BG 30G</t>
        </is>
      </c>
      <c r="D311" s="9" t="n">
        <v>1</v>
      </c>
      <c r="E311" s="9" t="n">
        <v>3</v>
      </c>
      <c r="F311" s="9" t="n">
        <v>3</v>
      </c>
      <c r="G311" s="10" t="n">
        <v>32.3</v>
      </c>
      <c r="H311" s="10" t="n">
        <v>27.27</v>
      </c>
      <c r="I311" s="10" t="n"/>
      <c r="J311" s="10" t="n">
        <v>32.3</v>
      </c>
      <c r="K311" s="10" t="n"/>
      <c r="L311" s="10" t="n">
        <v>33.33</v>
      </c>
      <c r="M311" s="8" t="inlineStr">
        <is>
          <t>SB LOG</t>
        </is>
      </c>
      <c r="N311" s="10" t="n">
        <v>32.3</v>
      </c>
      <c r="O311" s="11">
        <f>N311/G311-1</f>
        <v/>
      </c>
      <c r="P311" s="12" t="inlineStr">
        <is>
          <t>OK (≤ últ. compra)</t>
        </is>
      </c>
      <c r="Q311" s="8" t="inlineStr">
        <is>
          <t>sem estoque na Nazária</t>
        </is>
      </c>
    </row>
    <row r="312">
      <c r="A312" s="8" t="n">
        <v>427821</v>
      </c>
      <c r="B312" s="8" t="inlineStr">
        <is>
          <t>8902220109506</t>
        </is>
      </c>
      <c r="C312" s="8" t="inlineStr">
        <is>
          <t>ROSUCOR 10MG CX 30 COMP REV</t>
        </is>
      </c>
      <c r="D312" s="9" t="n">
        <v>1</v>
      </c>
      <c r="E312" s="9" t="n">
        <v>1</v>
      </c>
      <c r="F312" s="9" t="n">
        <v>1</v>
      </c>
      <c r="G312" s="10" t="n">
        <v>33.14</v>
      </c>
      <c r="H312" s="10" t="n">
        <v>28.21</v>
      </c>
      <c r="I312" s="10" t="n"/>
      <c r="J312" s="10" t="n"/>
      <c r="K312" s="10" t="n"/>
      <c r="L312" s="10" t="n">
        <v>34.88</v>
      </c>
      <c r="M312" s="8" t="inlineStr">
        <is>
          <t>NAZARIA</t>
        </is>
      </c>
      <c r="N312" s="10" t="n">
        <v>34.88</v>
      </c>
      <c r="O312" s="11">
        <f>N312/G312-1</f>
        <v/>
      </c>
      <c r="P312" s="13" t="inlineStr">
        <is>
          <t>ACIMA +5.3% (vs últ. compra)</t>
        </is>
      </c>
      <c r="Q312" s="8" t="inlineStr"/>
    </row>
    <row r="313">
      <c r="A313" s="8" t="n">
        <v>427841</v>
      </c>
      <c r="B313" s="8" t="inlineStr">
        <is>
          <t>8902220109520</t>
        </is>
      </c>
      <c r="C313" s="8" t="inlineStr">
        <is>
          <t>ROSUCOR 20MG CX 30 COMP REV</t>
        </is>
      </c>
      <c r="D313" s="9" t="n">
        <v>1</v>
      </c>
      <c r="E313" s="9" t="n">
        <v>1</v>
      </c>
      <c r="F313" s="9" t="n">
        <v>1</v>
      </c>
      <c r="G313" s="10" t="n">
        <v>58.89</v>
      </c>
      <c r="H313" s="10" t="n">
        <v>46.56</v>
      </c>
      <c r="I313" s="10" t="n"/>
      <c r="J313" s="10" t="n"/>
      <c r="K313" s="10" t="n"/>
      <c r="L313" s="10" t="n">
        <v>59.65</v>
      </c>
      <c r="M313" s="8" t="inlineStr">
        <is>
          <t>NAZARIA</t>
        </is>
      </c>
      <c r="N313" s="10" t="n">
        <v>59.65</v>
      </c>
      <c r="O313" s="11">
        <f>N313/G313-1</f>
        <v/>
      </c>
      <c r="P313" s="13" t="inlineStr">
        <is>
          <t>ACIMA +1.3% (vs últ. compra)</t>
        </is>
      </c>
      <c r="Q313" s="8" t="inlineStr"/>
    </row>
    <row r="314">
      <c r="A314" s="8" t="n">
        <v>611001</v>
      </c>
      <c r="B314" s="8" t="inlineStr">
        <is>
          <t>4005900945709</t>
        </is>
      </c>
      <c r="C314" s="8" t="inlineStr">
        <is>
          <t>SAB NIVEA GEL ACNE CONTROL 150G</t>
        </is>
      </c>
      <c r="D314" s="9" t="n">
        <v>1</v>
      </c>
      <c r="E314" s="9" t="n">
        <v>1</v>
      </c>
      <c r="F314" s="9" t="n">
        <v>1</v>
      </c>
      <c r="G314" s="10" t="n">
        <v>23.5633333333333</v>
      </c>
      <c r="H314" s="10" t="n">
        <v>23.5633</v>
      </c>
      <c r="I314" s="10" t="n"/>
      <c r="J314" s="10" t="n"/>
      <c r="K314" s="10" t="n"/>
      <c r="L314" s="10" t="n">
        <v>28.59</v>
      </c>
      <c r="M314" s="8" t="inlineStr">
        <is>
          <t>NAZARIA</t>
        </is>
      </c>
      <c r="N314" s="10" t="n">
        <v>28.59</v>
      </c>
      <c r="O314" s="11">
        <f>N314/G314-1</f>
        <v/>
      </c>
      <c r="P314" s="13" t="inlineStr">
        <is>
          <t>ACIMA +21.3% (vs últ. compra)</t>
        </is>
      </c>
      <c r="Q314" s="8" t="inlineStr"/>
    </row>
    <row r="315">
      <c r="A315" s="8" t="n">
        <v>104</v>
      </c>
      <c r="B315" s="8" t="inlineStr">
        <is>
          <t>4005808189342</t>
        </is>
      </c>
      <c r="C315" s="8" t="inlineStr">
        <is>
          <t>SABONETE FACIAL GEL NIVEA EQUI NUT 150G</t>
        </is>
      </c>
      <c r="D315" s="9" t="n">
        <v>1</v>
      </c>
      <c r="E315" s="9" t="n">
        <v>1</v>
      </c>
      <c r="F315" s="9" t="n">
        <v>1</v>
      </c>
      <c r="G315" s="10" t="n">
        <v>26.19</v>
      </c>
      <c r="H315" s="10" t="n">
        <v>20.55</v>
      </c>
      <c r="I315" s="10" t="n">
        <v>22.03</v>
      </c>
      <c r="J315" s="10" t="n"/>
      <c r="K315" s="10" t="n"/>
      <c r="L315" s="10" t="n">
        <v>24.19</v>
      </c>
      <c r="M315" s="8" t="inlineStr">
        <is>
          <t>EPAN</t>
        </is>
      </c>
      <c r="N315" s="10" t="n">
        <v>22.03</v>
      </c>
      <c r="O315" s="11">
        <f>N315/G315-1</f>
        <v/>
      </c>
      <c r="P315" s="12" t="inlineStr">
        <is>
          <t>OK (≤ últ. compra)</t>
        </is>
      </c>
      <c r="Q315" s="8" t="inlineStr">
        <is>
          <t>sem estoque na Nazária</t>
        </is>
      </c>
    </row>
    <row r="316">
      <c r="A316" s="8" t="n">
        <v>535801</v>
      </c>
      <c r="B316" s="8" t="inlineStr">
        <is>
          <t>7897595901866</t>
        </is>
      </c>
      <c r="C316" s="8" t="inlineStr">
        <is>
          <t>SABONETE LIQUIDO DERMACYD FEMINA FLORAL 200 ML</t>
        </is>
      </c>
      <c r="D316" s="9" t="n">
        <v>1</v>
      </c>
      <c r="E316" s="9" t="n">
        <v>4</v>
      </c>
      <c r="F316" s="9" t="n">
        <v>4</v>
      </c>
      <c r="G316" s="10" t="n">
        <v>18.92</v>
      </c>
      <c r="H316" s="10" t="n">
        <v>18.61</v>
      </c>
      <c r="I316" s="10" t="n">
        <v>19.95</v>
      </c>
      <c r="J316" s="10" t="n"/>
      <c r="K316" s="10" t="n"/>
      <c r="L316" s="10" t="n"/>
      <c r="M316" s="8" t="inlineStr">
        <is>
          <t>EPAN</t>
        </is>
      </c>
      <c r="N316" s="10" t="n">
        <v>19.95</v>
      </c>
      <c r="O316" s="11">
        <f>N316/G316-1</f>
        <v/>
      </c>
      <c r="P316" s="13" t="inlineStr">
        <is>
          <t>ACIMA +5.4% (vs últ. compra)</t>
        </is>
      </c>
      <c r="Q316" s="8" t="inlineStr"/>
    </row>
    <row r="317">
      <c r="A317" s="8" t="n">
        <v>45</v>
      </c>
      <c r="B317" s="8" t="inlineStr">
        <is>
          <t>7896004790640</t>
        </is>
      </c>
      <c r="C317" s="8" t="inlineStr">
        <is>
          <t>SABONETE LIQUIDO DERMACYD FEMINA FLORAL 200 ML</t>
        </is>
      </c>
      <c r="D317" s="9" t="n">
        <v>1</v>
      </c>
      <c r="E317" s="9" t="n">
        <v>1</v>
      </c>
      <c r="F317" s="9" t="n">
        <v>1</v>
      </c>
      <c r="G317" s="10" t="n"/>
      <c r="H317" s="10" t="n"/>
      <c r="I317" s="10" t="n"/>
      <c r="J317" s="10" t="n"/>
      <c r="K317" s="10" t="n"/>
      <c r="L317" s="10" t="n"/>
      <c r="M317" s="8" t="inlineStr">
        <is>
          <t>SEM COTAÇÃO</t>
        </is>
      </c>
      <c r="N317" s="10" t="n"/>
      <c r="O317" s="11" t="n"/>
      <c r="P317" s="8" t="inlineStr"/>
      <c r="Q317" s="8" t="inlineStr"/>
    </row>
    <row r="318">
      <c r="A318" s="8" t="n">
        <v>431301</v>
      </c>
      <c r="B318" s="8" t="inlineStr">
        <is>
          <t>7896227800089</t>
        </is>
      </c>
      <c r="C318" s="8" t="inlineStr">
        <is>
          <t>SALONPAS 0,15+0,07G/G GEL BG 20G</t>
        </is>
      </c>
      <c r="D318" s="9" t="n">
        <v>1</v>
      </c>
      <c r="E318" s="9" t="n">
        <v>2</v>
      </c>
      <c r="F318" s="9" t="n">
        <v>2</v>
      </c>
      <c r="G318" s="10" t="n">
        <v>14.86</v>
      </c>
      <c r="H318" s="10" t="n">
        <v>14.325</v>
      </c>
      <c r="I318" s="10" t="n">
        <v>14.64</v>
      </c>
      <c r="J318" s="10" t="n"/>
      <c r="K318" s="10" t="n">
        <v>16.2</v>
      </c>
      <c r="L318" s="10" t="n">
        <v>17.23</v>
      </c>
      <c r="M318" s="8" t="inlineStr">
        <is>
          <t>TAPAJOS</t>
        </is>
      </c>
      <c r="N318" s="10" t="n">
        <v>16.2</v>
      </c>
      <c r="O318" s="11">
        <f>N318/G318-1</f>
        <v/>
      </c>
      <c r="P318" s="13" t="inlineStr">
        <is>
          <t>ACIMA +9.0% (vs últ. compra)</t>
        </is>
      </c>
      <c r="Q318" s="8" t="inlineStr">
        <is>
          <t>sem estoque na Nazária; sem estoque no ePan</t>
        </is>
      </c>
    </row>
    <row r="319">
      <c r="A319" s="8" t="n">
        <v>318421</v>
      </c>
      <c r="B319" s="8" t="inlineStr">
        <is>
          <t>7896227800812</t>
        </is>
      </c>
      <c r="C319" s="8" t="inlineStr">
        <is>
          <t>SALONPAS 144,0+131,0+28,4MG  CX 2 UNID. ADES TAM GDE</t>
        </is>
      </c>
      <c r="D319" s="9" t="n">
        <v>1</v>
      </c>
      <c r="E319" s="9" t="n">
        <v>29</v>
      </c>
      <c r="F319" s="9" t="n">
        <v>29</v>
      </c>
      <c r="G319" s="10" t="n">
        <v>8.029545454545451</v>
      </c>
      <c r="H319" s="10" t="n">
        <v>6.1254</v>
      </c>
      <c r="I319" s="10" t="n">
        <v>6.98</v>
      </c>
      <c r="J319" s="10" t="n"/>
      <c r="K319" s="10" t="n"/>
      <c r="L319" s="10" t="n">
        <v>8.220000000000001</v>
      </c>
      <c r="M319" s="8" t="inlineStr">
        <is>
          <t>NAZARIA</t>
        </is>
      </c>
      <c r="N319" s="10" t="n">
        <v>8.220000000000001</v>
      </c>
      <c r="O319" s="11">
        <f>N319/G319-1</f>
        <v/>
      </c>
      <c r="P319" s="13" t="inlineStr">
        <is>
          <t>ACIMA +2.4% (vs últ. compra)</t>
        </is>
      </c>
      <c r="Q319" s="8" t="inlineStr">
        <is>
          <t>sem estoque no ePan</t>
        </is>
      </c>
    </row>
    <row r="320">
      <c r="A320" s="8" t="n">
        <v>318441</v>
      </c>
      <c r="B320" s="8" t="inlineStr">
        <is>
          <t>7896227800829</t>
        </is>
      </c>
      <c r="C320" s="8" t="inlineStr">
        <is>
          <t>SALONPAS 144,0+131,0+28,4MG CX 4 UNID. ADES TAM GDE</t>
        </is>
      </c>
      <c r="D320" s="9" t="n">
        <v>1</v>
      </c>
      <c r="E320" s="9" t="n">
        <v>46</v>
      </c>
      <c r="F320" s="9" t="n">
        <v>46</v>
      </c>
      <c r="G320" s="10" t="n">
        <v>15.380303030303</v>
      </c>
      <c r="H320" s="10" t="n">
        <v>11.0372</v>
      </c>
      <c r="I320" s="10" t="n">
        <v>12.58</v>
      </c>
      <c r="J320" s="10" t="n"/>
      <c r="K320" s="10" t="n"/>
      <c r="L320" s="10" t="n">
        <v>14.8</v>
      </c>
      <c r="M320" s="8" t="inlineStr">
        <is>
          <t>NAZARIA</t>
        </is>
      </c>
      <c r="N320" s="10" t="n">
        <v>14.8</v>
      </c>
      <c r="O320" s="11">
        <f>N320/G320-1</f>
        <v/>
      </c>
      <c r="P320" s="12" t="inlineStr">
        <is>
          <t>OK (≤ últ. compra)</t>
        </is>
      </c>
      <c r="Q320" s="8" t="inlineStr">
        <is>
          <t>sem estoque no ePan</t>
        </is>
      </c>
    </row>
    <row r="321">
      <c r="A321" s="8" t="n">
        <v>431321</v>
      </c>
      <c r="B321" s="8" t="inlineStr">
        <is>
          <t>7896227800041</t>
        </is>
      </c>
      <c r="C321" s="8" t="inlineStr">
        <is>
          <t>SALONPAS 30+38,5+38,5+19MG/ML LATA COM 80ML</t>
        </is>
      </c>
      <c r="D321" s="9" t="n">
        <v>1</v>
      </c>
      <c r="E321" s="9" t="n">
        <v>1</v>
      </c>
      <c r="F321" s="9" t="n">
        <v>1</v>
      </c>
      <c r="G321" s="10" t="n">
        <v>37.6733333333333</v>
      </c>
      <c r="H321" s="10" t="n">
        <v>32.5533</v>
      </c>
      <c r="I321" s="10" t="n">
        <v>37.67</v>
      </c>
      <c r="J321" s="10" t="n">
        <v>42.4</v>
      </c>
      <c r="K321" s="10" t="n"/>
      <c r="L321" s="10" t="n">
        <v>43.68</v>
      </c>
      <c r="M321" s="8" t="inlineStr">
        <is>
          <t>EPAN</t>
        </is>
      </c>
      <c r="N321" s="10" t="n">
        <v>37.67</v>
      </c>
      <c r="O321" s="11">
        <f>N321/G321-1</f>
        <v/>
      </c>
      <c r="P321" s="12" t="inlineStr">
        <is>
          <t>OK (≤ últ. compra)</t>
        </is>
      </c>
      <c r="Q321" s="8" t="inlineStr"/>
    </row>
    <row r="322">
      <c r="A322" s="8" t="n">
        <v>318381</v>
      </c>
      <c r="B322" s="8" t="inlineStr">
        <is>
          <t>7896227800805</t>
        </is>
      </c>
      <c r="C322" s="8" t="inlineStr">
        <is>
          <t>SALONPAS 36,0MG+33,0MG+7,1MG CX 10 UNID. ADES TAM PEQ</t>
        </is>
      </c>
      <c r="D322" s="9" t="n">
        <v>1</v>
      </c>
      <c r="E322" s="9" t="n">
        <v>16</v>
      </c>
      <c r="F322" s="9" t="n">
        <v>16</v>
      </c>
      <c r="G322" s="10" t="n">
        <v>8.486000000000001</v>
      </c>
      <c r="H322" s="10" t="n">
        <v>6.9125</v>
      </c>
      <c r="I322" s="10" t="n">
        <v>7.89</v>
      </c>
      <c r="J322" s="10" t="n"/>
      <c r="K322" s="10" t="n"/>
      <c r="L322" s="10" t="n">
        <v>9.279999999999999</v>
      </c>
      <c r="M322" s="8" t="inlineStr">
        <is>
          <t>NAZARIA</t>
        </is>
      </c>
      <c r="N322" s="10" t="n">
        <v>9.279999999999999</v>
      </c>
      <c r="O322" s="11">
        <f>N322/G322-1</f>
        <v/>
      </c>
      <c r="P322" s="13" t="inlineStr">
        <is>
          <t>ACIMA +9.4% (vs últ. compra)</t>
        </is>
      </c>
      <c r="Q322" s="8" t="inlineStr">
        <is>
          <t>sem estoque no ePan</t>
        </is>
      </c>
    </row>
    <row r="323">
      <c r="A323" s="8" t="n">
        <v>318461</v>
      </c>
      <c r="B323" s="8" t="inlineStr">
        <is>
          <t>7896227800799</t>
        </is>
      </c>
      <c r="C323" s="8" t="inlineStr">
        <is>
          <t>SALONPAS 36,0MG+33,0MG+7,1MG CX 4 UNID. ADES TAM PEQ</t>
        </is>
      </c>
      <c r="D323" s="9" t="n">
        <v>1</v>
      </c>
      <c r="E323" s="9" t="n">
        <v>18</v>
      </c>
      <c r="F323" s="9" t="n">
        <v>18</v>
      </c>
      <c r="G323" s="10" t="n">
        <v>4.02460416666667</v>
      </c>
      <c r="H323" s="10" t="n">
        <v>3.075</v>
      </c>
      <c r="I323" s="10" t="n"/>
      <c r="J323" s="10" t="n"/>
      <c r="K323" s="10" t="n"/>
      <c r="L323" s="10" t="n">
        <v>4.12</v>
      </c>
      <c r="M323" s="8" t="inlineStr">
        <is>
          <t>SEM COTAÇÃO</t>
        </is>
      </c>
      <c r="N323" s="10" t="n"/>
      <c r="O323" s="11" t="n"/>
      <c r="P323" s="8" t="inlineStr"/>
      <c r="Q323" s="8" t="inlineStr">
        <is>
          <t>sem estoque na Nazária</t>
        </is>
      </c>
    </row>
    <row r="324">
      <c r="A324" s="8" t="n">
        <v>623011</v>
      </c>
      <c r="B324" s="8" t="inlineStr">
        <is>
          <t>4987188501115</t>
        </is>
      </c>
      <c r="C324" s="8" t="inlineStr">
        <is>
          <t>SALONPAS GEL-PATCH 12,5MG/G+10MG/G+3MG/G+10MG/G 3 ADES</t>
        </is>
      </c>
      <c r="D324" s="9" t="n">
        <v>1</v>
      </c>
      <c r="E324" s="9" t="n">
        <v>2</v>
      </c>
      <c r="F324" s="9" t="n">
        <v>2</v>
      </c>
      <c r="G324" s="10" t="n">
        <v>15.66</v>
      </c>
      <c r="H324" s="10" t="n">
        <v>11.075</v>
      </c>
      <c r="I324" s="10" t="n"/>
      <c r="J324" s="10" t="n">
        <v>15.6</v>
      </c>
      <c r="K324" s="10" t="n">
        <v>15.07</v>
      </c>
      <c r="L324" s="10" t="n">
        <v>16.03</v>
      </c>
      <c r="M324" s="8" t="inlineStr">
        <is>
          <t>TAPAJOS</t>
        </is>
      </c>
      <c r="N324" s="10" t="n">
        <v>15.07</v>
      </c>
      <c r="O324" s="11">
        <f>N324/G324-1</f>
        <v/>
      </c>
      <c r="P324" s="12" t="inlineStr">
        <is>
          <t>OK (≤ últ. compra)</t>
        </is>
      </c>
      <c r="Q324" s="8" t="inlineStr"/>
    </row>
    <row r="325">
      <c r="A325" s="8" t="n">
        <v>244781</v>
      </c>
      <c r="B325" s="8" t="inlineStr">
        <is>
          <t>7898074618183</t>
        </is>
      </c>
      <c r="C325" s="8" t="inlineStr">
        <is>
          <t>SEKI 3,54MG/ML XPE FR 120ML+CM</t>
        </is>
      </c>
      <c r="D325" s="9" t="n">
        <v>1</v>
      </c>
      <c r="E325" s="9" t="n">
        <v>8</v>
      </c>
      <c r="F325" s="9" t="n">
        <v>8</v>
      </c>
      <c r="G325" s="10" t="n">
        <v>25.11</v>
      </c>
      <c r="H325" s="10" t="n">
        <v>18.6354</v>
      </c>
      <c r="I325" s="10" t="n">
        <v>25.11</v>
      </c>
      <c r="J325" s="10" t="n">
        <v>26.4</v>
      </c>
      <c r="K325" s="10" t="n"/>
      <c r="L325" s="10" t="n">
        <v>27.22</v>
      </c>
      <c r="M325" s="8" t="inlineStr">
        <is>
          <t>EPAN</t>
        </is>
      </c>
      <c r="N325" s="10" t="n">
        <v>25.11</v>
      </c>
      <c r="O325" s="11">
        <f>N325/G325-1</f>
        <v/>
      </c>
      <c r="P325" s="12" t="inlineStr">
        <is>
          <t>OK (≤ últ. compra)</t>
        </is>
      </c>
      <c r="Q325" s="8" t="inlineStr"/>
    </row>
    <row r="326">
      <c r="A326" s="8" t="n">
        <v>4281</v>
      </c>
      <c r="B326" s="8" t="inlineStr">
        <is>
          <t>7891317465650</t>
        </is>
      </c>
      <c r="C326" s="8" t="inlineStr">
        <is>
          <t>SELENE 0,035+2MG (CAIXA C/ 3 CARTELAS) C/21</t>
        </is>
      </c>
      <c r="D326" s="9" t="n">
        <v>1</v>
      </c>
      <c r="E326" s="9" t="n">
        <v>2</v>
      </c>
      <c r="F326" s="9" t="n">
        <v>2</v>
      </c>
      <c r="G326" s="10" t="n">
        <v>18.6713333333333</v>
      </c>
      <c r="H326" s="10" t="n">
        <v>16.7667</v>
      </c>
      <c r="I326" s="10" t="n">
        <v>56.01</v>
      </c>
      <c r="J326" s="10" t="n">
        <v>56.2</v>
      </c>
      <c r="K326" s="10" t="n">
        <v>54.48</v>
      </c>
      <c r="L326" s="10" t="n">
        <v>55.6416</v>
      </c>
      <c r="M326" s="8" t="inlineStr">
        <is>
          <t>TAPAJOS</t>
        </is>
      </c>
      <c r="N326" s="10" t="n">
        <v>54.48</v>
      </c>
      <c r="O326" s="11">
        <f>N326/G326-1</f>
        <v/>
      </c>
      <c r="P326" s="13" t="inlineStr">
        <is>
          <t>ACIMA +191.8% (vs últ. compra)</t>
        </is>
      </c>
      <c r="Q326" s="8" t="inlineStr"/>
    </row>
    <row r="327">
      <c r="A327" s="8" t="n">
        <v>4601</v>
      </c>
      <c r="B327" s="8" t="inlineStr">
        <is>
          <t>7891317465667</t>
        </is>
      </c>
      <c r="C327" s="8" t="inlineStr">
        <is>
          <t>SELENE 0,035+2MG CX 21 COMP REV</t>
        </is>
      </c>
      <c r="D327" s="9" t="n">
        <v>1</v>
      </c>
      <c r="E327" s="9" t="n">
        <v>19</v>
      </c>
      <c r="F327" s="9" t="n">
        <v>19</v>
      </c>
      <c r="G327" s="10" t="n">
        <v>26.38</v>
      </c>
      <c r="H327" s="10" t="n">
        <v>24.35</v>
      </c>
      <c r="I327" s="10" t="n"/>
      <c r="J327" s="10" t="n"/>
      <c r="K327" s="10" t="n">
        <v>26.38</v>
      </c>
      <c r="L327" s="10" t="n">
        <v>26.9376</v>
      </c>
      <c r="M327" s="8" t="inlineStr">
        <is>
          <t>TAPAJOS</t>
        </is>
      </c>
      <c r="N327" s="10" t="n">
        <v>26.38</v>
      </c>
      <c r="O327" s="11">
        <f>N327/G327-1</f>
        <v/>
      </c>
      <c r="P327" s="12" t="inlineStr">
        <is>
          <t>OK (≤ últ. compra)</t>
        </is>
      </c>
      <c r="Q327" s="8" t="inlineStr"/>
    </row>
    <row r="328">
      <c r="A328" s="8" t="n">
        <v>444281</v>
      </c>
      <c r="B328" s="8" t="inlineStr">
        <is>
          <t>7896206402853</t>
        </is>
      </c>
      <c r="C328" s="8" t="inlineStr">
        <is>
          <t>SELOZOK 25MG CX 30 COMP</t>
        </is>
      </c>
      <c r="D328" s="9" t="n">
        <v>1</v>
      </c>
      <c r="E328" s="9" t="n">
        <v>1</v>
      </c>
      <c r="F328" s="9" t="n">
        <v>1</v>
      </c>
      <c r="G328" s="10" t="n">
        <v>31.175</v>
      </c>
      <c r="H328" s="10" t="n">
        <v>28.245</v>
      </c>
      <c r="I328" s="10" t="n">
        <v>31.18</v>
      </c>
      <c r="J328" s="10" t="n">
        <v>30</v>
      </c>
      <c r="K328" s="10" t="n"/>
      <c r="L328" s="10" t="n">
        <v>30.9795</v>
      </c>
      <c r="M328" s="8" t="inlineStr">
        <is>
          <t>SB LOG</t>
        </is>
      </c>
      <c r="N328" s="10" t="n">
        <v>30</v>
      </c>
      <c r="O328" s="11">
        <f>N328/G328-1</f>
        <v/>
      </c>
      <c r="P328" s="12" t="inlineStr">
        <is>
          <t>OK (≤ últ. compra)</t>
        </is>
      </c>
      <c r="Q328" s="8" t="inlineStr"/>
    </row>
    <row r="329">
      <c r="A329" s="8" t="n">
        <v>671301</v>
      </c>
      <c r="B329" s="8" t="inlineStr">
        <is>
          <t>7898652375736</t>
        </is>
      </c>
      <c r="C329" s="8" t="inlineStr">
        <is>
          <t>SERINGA 20ML LL AGULHA 0,7X25</t>
        </is>
      </c>
      <c r="D329" s="9" t="n">
        <v>1</v>
      </c>
      <c r="E329" s="9" t="n">
        <v>18</v>
      </c>
      <c r="F329" s="9" t="n">
        <v>18</v>
      </c>
      <c r="G329" s="10" t="n">
        <v>0.59</v>
      </c>
      <c r="H329" s="10" t="n">
        <v>0.59</v>
      </c>
      <c r="I329" s="10" t="n"/>
      <c r="J329" s="10" t="n"/>
      <c r="K329" s="10" t="n"/>
      <c r="L329" s="10" t="n"/>
      <c r="M329" s="8" t="inlineStr">
        <is>
          <t>SEM COTAÇÃO</t>
        </is>
      </c>
      <c r="N329" s="10" t="n"/>
      <c r="O329" s="11" t="n"/>
      <c r="P329" s="8" t="inlineStr"/>
      <c r="Q329" s="8" t="inlineStr"/>
    </row>
    <row r="330">
      <c r="A330" s="8" t="n">
        <v>605291</v>
      </c>
      <c r="B330" s="8" t="inlineStr">
        <is>
          <t>7897460401934</t>
        </is>
      </c>
      <c r="C330" s="8" t="inlineStr">
        <is>
          <t>SILIMALON 100+70MG CX 10 COMP REV</t>
        </is>
      </c>
      <c r="D330" s="9" t="n">
        <v>1</v>
      </c>
      <c r="E330" s="9" t="n">
        <v>3</v>
      </c>
      <c r="F330" s="9" t="n">
        <v>3</v>
      </c>
      <c r="G330" s="10" t="n">
        <v>19.2466666666667</v>
      </c>
      <c r="H330" s="10" t="n">
        <v>15.4333</v>
      </c>
      <c r="I330" s="10" t="n">
        <v>18.34</v>
      </c>
      <c r="J330" s="10" t="n">
        <v>20.2</v>
      </c>
      <c r="K330" s="10" t="n"/>
      <c r="L330" s="10" t="n">
        <v>20.81</v>
      </c>
      <c r="M330" s="8" t="inlineStr">
        <is>
          <t>EPAN</t>
        </is>
      </c>
      <c r="N330" s="10" t="n">
        <v>18.34</v>
      </c>
      <c r="O330" s="11">
        <f>N330/G330-1</f>
        <v/>
      </c>
      <c r="P330" s="12" t="inlineStr">
        <is>
          <t>OK (≤ últ. compra)</t>
        </is>
      </c>
      <c r="Q330" s="8" t="inlineStr"/>
    </row>
    <row r="331">
      <c r="A331" s="8" t="n">
        <v>433941</v>
      </c>
      <c r="B331" s="8" t="inlineStr">
        <is>
          <t>7897460401422</t>
        </is>
      </c>
      <c r="C331" s="8" t="inlineStr">
        <is>
          <t>SILIMALON 100+70MG CX 30 DRG</t>
        </is>
      </c>
      <c r="D331" s="9" t="n">
        <v>1</v>
      </c>
      <c r="E331" s="9" t="n">
        <v>1</v>
      </c>
      <c r="F331" s="9" t="n">
        <v>1</v>
      </c>
      <c r="G331" s="10" t="n">
        <v>57.7866666666667</v>
      </c>
      <c r="H331" s="10" t="n">
        <v>51.28</v>
      </c>
      <c r="I331" s="10" t="n">
        <v>57.79</v>
      </c>
      <c r="J331" s="10" t="n">
        <v>60.6</v>
      </c>
      <c r="K331" s="10" t="n"/>
      <c r="L331" s="10" t="n">
        <v>62.48</v>
      </c>
      <c r="M331" s="8" t="inlineStr">
        <is>
          <t>EPAN</t>
        </is>
      </c>
      <c r="N331" s="10" t="n">
        <v>57.79</v>
      </c>
      <c r="O331" s="11">
        <f>N331/G331-1</f>
        <v/>
      </c>
      <c r="P331" s="13" t="inlineStr">
        <is>
          <t>ACIMA +0.0% (vs últ. compra)</t>
        </is>
      </c>
      <c r="Q331" s="8" t="inlineStr"/>
    </row>
    <row r="332">
      <c r="A332" s="8" t="n">
        <v>434001</v>
      </c>
      <c r="B332" s="8" t="inlineStr">
        <is>
          <t>7897460401743</t>
        </is>
      </c>
      <c r="C332" s="8" t="inlineStr">
        <is>
          <t>SILIMALON 140 140+100MG CX 30 COMP REV</t>
        </is>
      </c>
      <c r="D332" s="9" t="n">
        <v>1</v>
      </c>
      <c r="E332" s="9" t="n">
        <v>2</v>
      </c>
      <c r="F332" s="9" t="n">
        <v>2</v>
      </c>
      <c r="G332" s="10" t="n">
        <v>92.47</v>
      </c>
      <c r="H332" s="10" t="n">
        <v>84.03</v>
      </c>
      <c r="I332" s="10" t="n">
        <v>92.47</v>
      </c>
      <c r="J332" s="10" t="n">
        <v>97</v>
      </c>
      <c r="K332" s="10" t="n"/>
      <c r="L332" s="10" t="n">
        <v>99.98</v>
      </c>
      <c r="M332" s="8" t="inlineStr">
        <is>
          <t>EPAN</t>
        </is>
      </c>
      <c r="N332" s="10" t="n">
        <v>92.47</v>
      </c>
      <c r="O332" s="11">
        <f>N332/G332-1</f>
        <v/>
      </c>
      <c r="P332" s="12" t="inlineStr">
        <is>
          <t>OK (≤ últ. compra)</t>
        </is>
      </c>
      <c r="Q332" s="8" t="inlineStr"/>
    </row>
    <row r="333">
      <c r="A333" s="8" t="n">
        <v>433961</v>
      </c>
      <c r="B333" s="8" t="inlineStr">
        <is>
          <t>7897460401750</t>
        </is>
      </c>
      <c r="C333" s="8" t="inlineStr">
        <is>
          <t>SILIMALON 140 140+100MG CX 60 COMP REV</t>
        </is>
      </c>
      <c r="D333" s="9" t="n">
        <v>1</v>
      </c>
      <c r="E333" s="9" t="n">
        <v>1</v>
      </c>
      <c r="F333" s="9" t="n">
        <v>1</v>
      </c>
      <c r="G333" s="10" t="n">
        <v>128.47</v>
      </c>
      <c r="H333" s="10" t="n">
        <v>128.47</v>
      </c>
      <c r="I333" s="10" t="n"/>
      <c r="J333" s="10" t="n">
        <v>148.3</v>
      </c>
      <c r="K333" s="10" t="n"/>
      <c r="L333" s="10" t="n">
        <v>152.84</v>
      </c>
      <c r="M333" s="8" t="inlineStr">
        <is>
          <t>SB LOG</t>
        </is>
      </c>
      <c r="N333" s="10" t="n">
        <v>148.3</v>
      </c>
      <c r="O333" s="11">
        <f>N333/G333-1</f>
        <v/>
      </c>
      <c r="P333" s="13" t="inlineStr">
        <is>
          <t>ACIMA +15.4% (vs últ. compra)</t>
        </is>
      </c>
      <c r="Q333" s="8" t="inlineStr"/>
    </row>
    <row r="334">
      <c r="A334" s="8" t="n">
        <v>110341</v>
      </c>
      <c r="B334" s="8" t="inlineStr">
        <is>
          <t>7891317421748</t>
        </is>
      </c>
      <c r="C334" s="8" t="inlineStr">
        <is>
          <t>SINOT CLAV 875+125MG FR 14 COMP</t>
        </is>
      </c>
      <c r="D334" s="9" t="n">
        <v>1</v>
      </c>
      <c r="E334" s="9" t="n">
        <v>2</v>
      </c>
      <c r="F334" s="9" t="n">
        <v>2</v>
      </c>
      <c r="G334" s="10" t="n">
        <v>61.45</v>
      </c>
      <c r="H334" s="10" t="n">
        <v>59.13</v>
      </c>
      <c r="I334" s="10" t="n"/>
      <c r="J334" s="10" t="n">
        <v>61.7</v>
      </c>
      <c r="K334" s="10" t="n">
        <v>59.77</v>
      </c>
      <c r="L334" s="10" t="n">
        <v>61.0368</v>
      </c>
      <c r="M334" s="8" t="inlineStr">
        <is>
          <t>TAPAJOS</t>
        </is>
      </c>
      <c r="N334" s="10" t="n">
        <v>59.77</v>
      </c>
      <c r="O334" s="11">
        <f>N334/G334-1</f>
        <v/>
      </c>
      <c r="P334" s="12" t="inlineStr">
        <is>
          <t>OK (≤ últ. compra)</t>
        </is>
      </c>
      <c r="Q334" s="8" t="inlineStr"/>
    </row>
    <row r="335">
      <c r="A335" s="8" t="n">
        <v>529941</v>
      </c>
      <c r="B335" s="8" t="inlineStr">
        <is>
          <t>7908134200552</t>
        </is>
      </c>
      <c r="C335" s="8" t="inlineStr">
        <is>
          <t>SLINDA 4MG (CAIXA C/ 3 CARTELAS) C/28 COMP REV</t>
        </is>
      </c>
      <c r="D335" s="9" t="n">
        <v>1</v>
      </c>
      <c r="E335" s="9" t="n">
        <v>1</v>
      </c>
      <c r="F335" s="9" t="n">
        <v>1</v>
      </c>
      <c r="G335" s="10" t="n">
        <v>226.51</v>
      </c>
      <c r="H335" s="10" t="n">
        <v>67.41330000000001</v>
      </c>
      <c r="I335" s="10" t="n"/>
      <c r="J335" s="10" t="n"/>
      <c r="K335" s="10" t="n">
        <v>226.51</v>
      </c>
      <c r="L335" s="10" t="n">
        <v>240.97</v>
      </c>
      <c r="M335" s="8" t="inlineStr">
        <is>
          <t>TAPAJOS</t>
        </is>
      </c>
      <c r="N335" s="10" t="n">
        <v>226.51</v>
      </c>
      <c r="O335" s="11">
        <f>N335/G335-1</f>
        <v/>
      </c>
      <c r="P335" s="12" t="inlineStr">
        <is>
          <t>OK (≤ últ. compra)</t>
        </is>
      </c>
      <c r="Q335" s="8" t="inlineStr"/>
    </row>
    <row r="336">
      <c r="A336" s="8" t="n">
        <v>645561</v>
      </c>
      <c r="B336" s="8" t="inlineStr">
        <is>
          <t>7897930761209</t>
        </is>
      </c>
      <c r="C336" s="8" t="inlineStr">
        <is>
          <t>SOAPEX 1% SAB 80G-DEMAIS PROD</t>
        </is>
      </c>
      <c r="D336" s="9" t="n">
        <v>1</v>
      </c>
      <c r="E336" s="9" t="n">
        <v>1</v>
      </c>
      <c r="F336" s="9" t="n">
        <v>1</v>
      </c>
      <c r="G336" s="10" t="n">
        <v>35.09</v>
      </c>
      <c r="H336" s="10" t="n">
        <v>35.09</v>
      </c>
      <c r="I336" s="10" t="n"/>
      <c r="J336" s="10" t="n"/>
      <c r="K336" s="10" t="n"/>
      <c r="L336" s="10" t="n"/>
      <c r="M336" s="8" t="inlineStr">
        <is>
          <t>SEM COTAÇÃO</t>
        </is>
      </c>
      <c r="N336" s="10" t="n"/>
      <c r="O336" s="11" t="n"/>
      <c r="P336" s="8" t="inlineStr"/>
      <c r="Q336" s="8" t="inlineStr"/>
    </row>
    <row r="337">
      <c r="A337" s="8" t="n">
        <v>609041</v>
      </c>
      <c r="B337" s="8" t="inlineStr">
        <is>
          <t>7897930750050</t>
        </is>
      </c>
      <c r="C337" s="8" t="inlineStr">
        <is>
          <t>SOAPEX SAB CREMO 120ML</t>
        </is>
      </c>
      <c r="D337" s="9" t="n">
        <v>1</v>
      </c>
      <c r="E337" s="9" t="n">
        <v>1</v>
      </c>
      <c r="F337" s="9" t="n">
        <v>1</v>
      </c>
      <c r="G337" s="10" t="n">
        <v>38.78</v>
      </c>
      <c r="H337" s="10" t="n">
        <v>38.78</v>
      </c>
      <c r="I337" s="10" t="n"/>
      <c r="J337" s="10" t="n"/>
      <c r="K337" s="10" t="n"/>
      <c r="L337" s="10" t="n"/>
      <c r="M337" s="8" t="inlineStr">
        <is>
          <t>SEM COTAÇÃO</t>
        </is>
      </c>
      <c r="N337" s="10" t="n"/>
      <c r="O337" s="11" t="n"/>
      <c r="P337" s="8" t="inlineStr"/>
      <c r="Q337" s="8" t="inlineStr"/>
    </row>
    <row r="338">
      <c r="A338" s="8" t="n">
        <v>264541</v>
      </c>
      <c r="B338" s="8" t="inlineStr">
        <is>
          <t>7894916512107</t>
        </is>
      </c>
      <c r="C338" s="8" t="inlineStr">
        <is>
          <t>SOMALGIN CARDIO 81MG 6 BLT 10 COMP REV-S</t>
        </is>
      </c>
      <c r="D338" s="9" t="n">
        <v>1</v>
      </c>
      <c r="E338" s="9" t="n">
        <v>1</v>
      </c>
      <c r="F338" s="9" t="n">
        <v>1</v>
      </c>
      <c r="G338" s="10" t="n">
        <v>22.9</v>
      </c>
      <c r="H338" s="10" t="n">
        <v>21.925</v>
      </c>
      <c r="I338" s="10" t="n"/>
      <c r="J338" s="10" t="n">
        <v>23.9</v>
      </c>
      <c r="K338" s="10" t="n"/>
      <c r="L338" s="10" t="n">
        <v>23.6352</v>
      </c>
      <c r="M338" s="8" t="inlineStr">
        <is>
          <t>NAZARIA</t>
        </is>
      </c>
      <c r="N338" s="10" t="n">
        <v>23.6352</v>
      </c>
      <c r="O338" s="11">
        <f>N338/G338-1</f>
        <v/>
      </c>
      <c r="P338" s="13" t="inlineStr">
        <is>
          <t>ACIMA +3.2% (vs últ. compra)</t>
        </is>
      </c>
      <c r="Q338" s="8" t="inlineStr"/>
    </row>
    <row r="339">
      <c r="A339" s="8" t="n">
        <v>614861</v>
      </c>
      <c r="B339" s="8" t="inlineStr">
        <is>
          <t>7891317011277</t>
        </is>
      </c>
      <c r="C339" s="8" t="inlineStr">
        <is>
          <t>SONIC 50MG CX 60 COMP REV</t>
        </is>
      </c>
      <c r="D339" s="9" t="n">
        <v>1</v>
      </c>
      <c r="E339" s="9" t="n">
        <v>2</v>
      </c>
      <c r="F339" s="9" t="n">
        <v>2</v>
      </c>
      <c r="G339" s="10" t="n">
        <v>41.02</v>
      </c>
      <c r="H339" s="10" t="n">
        <v>37.98</v>
      </c>
      <c r="I339" s="10" t="n"/>
      <c r="J339" s="10" t="n">
        <v>41.2</v>
      </c>
      <c r="K339" s="10" t="n"/>
      <c r="L339" s="10" t="n">
        <v>40.7424</v>
      </c>
      <c r="M339" s="8" t="inlineStr">
        <is>
          <t>NAZARIA</t>
        </is>
      </c>
      <c r="N339" s="10" t="n">
        <v>40.7424</v>
      </c>
      <c r="O339" s="11">
        <f>N339/G339-1</f>
        <v/>
      </c>
      <c r="P339" s="12" t="inlineStr">
        <is>
          <t>OK (≤ últ. compra)</t>
        </is>
      </c>
      <c r="Q339" s="8" t="inlineStr"/>
    </row>
    <row r="340">
      <c r="A340" s="8" t="n">
        <v>297921</v>
      </c>
      <c r="B340" s="8" t="inlineStr">
        <is>
          <t>7898074617803</t>
        </is>
      </c>
      <c r="C340" s="8" t="inlineStr">
        <is>
          <t>SPIDUFEN 1155MG GRAN SOL CX 10 ENV 3G SB DAMASCO</t>
        </is>
      </c>
      <c r="D340" s="9" t="n">
        <v>1</v>
      </c>
      <c r="E340" s="9" t="n">
        <v>1</v>
      </c>
      <c r="F340" s="9" t="n">
        <v>1</v>
      </c>
      <c r="G340" s="10" t="n">
        <v>42.05</v>
      </c>
      <c r="H340" s="10" t="n">
        <v>36.49</v>
      </c>
      <c r="I340" s="10" t="n">
        <v>42.05</v>
      </c>
      <c r="J340" s="10" t="n">
        <v>41.3</v>
      </c>
      <c r="K340" s="10" t="n"/>
      <c r="L340" s="10" t="n">
        <v>42.59</v>
      </c>
      <c r="M340" s="8" t="inlineStr">
        <is>
          <t>SB LOG</t>
        </is>
      </c>
      <c r="N340" s="10" t="n">
        <v>41.3</v>
      </c>
      <c r="O340" s="11">
        <f>N340/G340-1</f>
        <v/>
      </c>
      <c r="P340" s="12" t="inlineStr">
        <is>
          <t>OK (≤ últ. compra)</t>
        </is>
      </c>
      <c r="Q340" s="8" t="inlineStr"/>
    </row>
    <row r="341">
      <c r="A341" s="8" t="n">
        <v>526121</v>
      </c>
      <c r="B341" s="8" t="inlineStr">
        <is>
          <t>5060632508768</t>
        </is>
      </c>
      <c r="C341" s="8" t="inlineStr">
        <is>
          <t>STEZZA 2,5+1,5MG CX 24 COMP REV+CALEND+4 PLACEBO</t>
        </is>
      </c>
      <c r="D341" s="9" t="n">
        <v>1</v>
      </c>
      <c r="E341" s="9" t="n">
        <v>1</v>
      </c>
      <c r="F341" s="9" t="n">
        <v>1</v>
      </c>
      <c r="G341" s="10" t="n">
        <v>48.21</v>
      </c>
      <c r="H341" s="10" t="n">
        <v>41.29</v>
      </c>
      <c r="I341" s="10" t="n">
        <v>45.8</v>
      </c>
      <c r="J341" s="10" t="n"/>
      <c r="K341" s="10" t="n"/>
      <c r="L341" s="10" t="n">
        <v>46.39</v>
      </c>
      <c r="M341" s="8" t="inlineStr">
        <is>
          <t>NAZARIA</t>
        </is>
      </c>
      <c r="N341" s="10" t="n">
        <v>46.39</v>
      </c>
      <c r="O341" s="11">
        <f>N341/G341-1</f>
        <v/>
      </c>
      <c r="P341" s="12" t="inlineStr">
        <is>
          <t>OK (≤ últ. compra)</t>
        </is>
      </c>
      <c r="Q341" s="8" t="inlineStr">
        <is>
          <t>sem estoque no ePan</t>
        </is>
      </c>
    </row>
    <row r="342">
      <c r="A342" s="8" t="n">
        <v>262121</v>
      </c>
      <c r="B342" s="8" t="inlineStr">
        <is>
          <t>7891317465049</t>
        </is>
      </c>
      <c r="C342" s="8" t="inlineStr">
        <is>
          <t>TAMISA 0,075+0,020MG CX 21 DRG</t>
        </is>
      </c>
      <c r="D342" s="9" t="n">
        <v>1</v>
      </c>
      <c r="E342" s="9" t="n">
        <v>3</v>
      </c>
      <c r="F342" s="9" t="n">
        <v>3</v>
      </c>
      <c r="G342" s="10" t="n">
        <v>28.4</v>
      </c>
      <c r="H342" s="10" t="n">
        <v>26.225</v>
      </c>
      <c r="I342" s="10" t="n">
        <v>29.2</v>
      </c>
      <c r="J342" s="10" t="n">
        <v>29.3</v>
      </c>
      <c r="K342" s="10" t="n">
        <v>28.4</v>
      </c>
      <c r="L342" s="10" t="n">
        <v>29.0112</v>
      </c>
      <c r="M342" s="8" t="inlineStr">
        <is>
          <t>TAPAJOS</t>
        </is>
      </c>
      <c r="N342" s="10" t="n">
        <v>28.4</v>
      </c>
      <c r="O342" s="11">
        <f>N342/G342-1</f>
        <v/>
      </c>
      <c r="P342" s="12" t="inlineStr">
        <is>
          <t>OK (≤ últ. compra)</t>
        </is>
      </c>
      <c r="Q342" s="8" t="inlineStr"/>
    </row>
    <row r="343">
      <c r="A343" s="8" t="n">
        <v>572301</v>
      </c>
      <c r="B343" s="8" t="inlineStr">
        <is>
          <t>7891317009755</t>
        </is>
      </c>
      <c r="C343" s="8" t="inlineStr">
        <is>
          <t>TAMISA NF 0,075+0,030MG SEM PARAR (CAIXA C/ 3 CARTELAS)</t>
        </is>
      </c>
      <c r="D343" s="9" t="n">
        <v>1</v>
      </c>
      <c r="E343" s="9" t="n">
        <v>4</v>
      </c>
      <c r="F343" s="9" t="n">
        <v>4</v>
      </c>
      <c r="G343" s="10" t="n">
        <v>30.3333333333333</v>
      </c>
      <c r="H343" s="10" t="n">
        <v>11.3522</v>
      </c>
      <c r="I343" s="10" t="n"/>
      <c r="J343" s="10" t="n">
        <v>92.90000000000001</v>
      </c>
      <c r="K343" s="10" t="n"/>
      <c r="L343" s="10" t="n">
        <v>91.95840000000001</v>
      </c>
      <c r="M343" s="8" t="inlineStr">
        <is>
          <t>NAZARIA</t>
        </is>
      </c>
      <c r="N343" s="10" t="n">
        <v>91.95840000000001</v>
      </c>
      <c r="O343" s="11">
        <f>N343/G343-1</f>
        <v/>
      </c>
      <c r="P343" s="13" t="inlineStr">
        <is>
          <t>ACIMA +203.2% (vs últ. compra)</t>
        </is>
      </c>
      <c r="Q343" s="8" t="inlineStr"/>
    </row>
    <row r="344">
      <c r="A344" s="8" t="n">
        <v>455901</v>
      </c>
      <c r="B344" s="8" t="inlineStr">
        <is>
          <t>7896094206014</t>
        </is>
      </c>
      <c r="C344" s="8" t="inlineStr">
        <is>
          <t>TARFIC 0,3MG POM BG 10G</t>
        </is>
      </c>
      <c r="D344" s="9" t="n">
        <v>1</v>
      </c>
      <c r="E344" s="9" t="n">
        <v>1</v>
      </c>
      <c r="F344" s="9" t="n">
        <v>1</v>
      </c>
      <c r="G344" s="10" t="n">
        <v>72.27</v>
      </c>
      <c r="H344" s="10" t="n">
        <v>72.27</v>
      </c>
      <c r="I344" s="10" t="n"/>
      <c r="J344" s="10" t="n">
        <v>76.7</v>
      </c>
      <c r="K344" s="10" t="n"/>
      <c r="L344" s="10" t="n">
        <v>76.52330000000001</v>
      </c>
      <c r="M344" s="8" t="inlineStr">
        <is>
          <t>SB LOG</t>
        </is>
      </c>
      <c r="N344" s="10" t="n">
        <v>76.7</v>
      </c>
      <c r="O344" s="11">
        <f>N344/G344-1</f>
        <v/>
      </c>
      <c r="P344" s="13" t="inlineStr">
        <is>
          <t>ACIMA +6.1% (vs últ. compra)</t>
        </is>
      </c>
      <c r="Q344" s="8" t="inlineStr">
        <is>
          <t>sem estoque na Nazária</t>
        </is>
      </c>
    </row>
    <row r="345">
      <c r="A345" s="8" t="n">
        <v>455861</v>
      </c>
      <c r="B345" s="8" t="inlineStr">
        <is>
          <t>7896094206038</t>
        </is>
      </c>
      <c r="C345" s="8" t="inlineStr">
        <is>
          <t>TARFIC 1,0MG POM BG 10G</t>
        </is>
      </c>
      <c r="D345" s="9" t="n">
        <v>1</v>
      </c>
      <c r="E345" s="9" t="n">
        <v>1</v>
      </c>
      <c r="F345" s="9" t="n">
        <v>1</v>
      </c>
      <c r="G345" s="10" t="n">
        <v>72.27500000000001</v>
      </c>
      <c r="H345" s="10" t="n">
        <v>72.27500000000001</v>
      </c>
      <c r="I345" s="10" t="n"/>
      <c r="J345" s="10" t="n">
        <v>76.5</v>
      </c>
      <c r="K345" s="10" t="n"/>
      <c r="L345" s="10" t="n">
        <v>76.533</v>
      </c>
      <c r="M345" s="8" t="inlineStr">
        <is>
          <t>SB LOG</t>
        </is>
      </c>
      <c r="N345" s="10" t="n">
        <v>76.5</v>
      </c>
      <c r="O345" s="11">
        <f>N345/G345-1</f>
        <v/>
      </c>
      <c r="P345" s="13" t="inlineStr">
        <is>
          <t>ACIMA +5.8% (vs últ. compra)</t>
        </is>
      </c>
      <c r="Q345" s="8" t="inlineStr"/>
    </row>
    <row r="346">
      <c r="A346" s="8" t="n">
        <v>345721</v>
      </c>
      <c r="B346" s="8" t="inlineStr">
        <is>
          <t>7892953101865</t>
        </is>
      </c>
      <c r="C346" s="8" t="inlineStr">
        <is>
          <t>TECNOMET 2,5MG CX 20 COMP</t>
        </is>
      </c>
      <c r="D346" s="9" t="n">
        <v>1</v>
      </c>
      <c r="E346" s="9" t="n">
        <v>4</v>
      </c>
      <c r="F346" s="9" t="n">
        <v>4</v>
      </c>
      <c r="G346" s="10" t="n">
        <v>31.91</v>
      </c>
      <c r="H346" s="10" t="n">
        <v>27.316</v>
      </c>
      <c r="I346" s="10" t="n">
        <v>31.91</v>
      </c>
      <c r="J346" s="10" t="n">
        <v>33.5</v>
      </c>
      <c r="K346" s="10" t="n">
        <v>32.51</v>
      </c>
      <c r="L346" s="10" t="n">
        <v>31.4678</v>
      </c>
      <c r="M346" s="8" t="inlineStr">
        <is>
          <t>NAZARIA</t>
        </is>
      </c>
      <c r="N346" s="10" t="n">
        <v>31.4678</v>
      </c>
      <c r="O346" s="11">
        <f>N346/G346-1</f>
        <v/>
      </c>
      <c r="P346" s="12" t="inlineStr">
        <is>
          <t>OK (≤ últ. compra)</t>
        </is>
      </c>
      <c r="Q346" s="8" t="inlineStr"/>
    </row>
    <row r="347">
      <c r="A347" s="8" t="n">
        <v>632761</v>
      </c>
      <c r="B347" s="8" t="inlineStr">
        <is>
          <t>7500435171106</t>
        </is>
      </c>
      <c r="C347" s="8" t="inlineStr">
        <is>
          <t>TESTE DE GRAVIDEZ CLEARBLUE PLUS-DEMAIS PROD</t>
        </is>
      </c>
      <c r="D347" s="9" t="n">
        <v>1</v>
      </c>
      <c r="E347" s="9" t="n">
        <v>1</v>
      </c>
      <c r="F347" s="9" t="n">
        <v>1</v>
      </c>
      <c r="G347" s="10" t="n">
        <v>15.1625</v>
      </c>
      <c r="H347" s="10" t="n">
        <v>13.3871</v>
      </c>
      <c r="I347" s="10" t="n">
        <v>14.49</v>
      </c>
      <c r="J347" s="10" t="n">
        <v>16.5</v>
      </c>
      <c r="K347" s="10" t="n">
        <v>15.94</v>
      </c>
      <c r="L347" s="10" t="n">
        <v>14.8224</v>
      </c>
      <c r="M347" s="8" t="inlineStr">
        <is>
          <t>EPAN</t>
        </is>
      </c>
      <c r="N347" s="10" t="n">
        <v>14.49</v>
      </c>
      <c r="O347" s="11">
        <f>N347/G347-1</f>
        <v/>
      </c>
      <c r="P347" s="12" t="inlineStr">
        <is>
          <t>OK (≤ últ. compra)</t>
        </is>
      </c>
      <c r="Q347" s="8" t="inlineStr"/>
    </row>
    <row r="348">
      <c r="A348" s="8" t="n">
        <v>624141</v>
      </c>
      <c r="B348" s="8" t="inlineStr">
        <is>
          <t>7506339305142</t>
        </is>
      </c>
      <c r="C348" s="8" t="inlineStr">
        <is>
          <t>TESTE GRAV CLEARBLUE PLUS 2UNI-DEMAIS PROD</t>
        </is>
      </c>
      <c r="D348" s="9" t="n">
        <v>1</v>
      </c>
      <c r="E348" s="9" t="n">
        <v>1</v>
      </c>
      <c r="F348" s="9" t="n">
        <v>1</v>
      </c>
      <c r="G348" s="10" t="n">
        <v>24.7675</v>
      </c>
      <c r="H348" s="10" t="n">
        <v>23.11</v>
      </c>
      <c r="I348" s="10" t="n"/>
      <c r="J348" s="10" t="n">
        <v>28.4</v>
      </c>
      <c r="K348" s="10" t="n">
        <v>27.51</v>
      </c>
      <c r="L348" s="10" t="n">
        <v>24.7872</v>
      </c>
      <c r="M348" s="8" t="inlineStr">
        <is>
          <t>NAZARIA</t>
        </is>
      </c>
      <c r="N348" s="10" t="n">
        <v>24.7872</v>
      </c>
      <c r="O348" s="11">
        <f>N348/G348-1</f>
        <v/>
      </c>
      <c r="P348" s="13" t="inlineStr">
        <is>
          <t>ACIMA +0.1% (vs últ. compra)</t>
        </is>
      </c>
      <c r="Q348" s="8" t="inlineStr"/>
    </row>
    <row r="349">
      <c r="A349" s="8" t="n">
        <v>622921</v>
      </c>
      <c r="B349" s="8" t="inlineStr">
        <is>
          <t>7500435137959</t>
        </is>
      </c>
      <c r="C349" s="8" t="inlineStr">
        <is>
          <t>TESTE GRAV CLEARBLUE SAIBA ANTES-DEMAIS PROD</t>
        </is>
      </c>
      <c r="D349" s="9" t="n">
        <v>1</v>
      </c>
      <c r="E349" s="9" t="n">
        <v>5</v>
      </c>
      <c r="F349" s="9" t="n">
        <v>5</v>
      </c>
      <c r="G349" s="10" t="n">
        <v>21.65</v>
      </c>
      <c r="H349" s="10" t="n">
        <v>19.62</v>
      </c>
      <c r="I349" s="10" t="n">
        <v>20.95</v>
      </c>
      <c r="J349" s="10" t="n"/>
      <c r="K349" s="10" t="n">
        <v>22.77</v>
      </c>
      <c r="L349" s="10" t="n">
        <v>21.1776</v>
      </c>
      <c r="M349" s="8" t="inlineStr">
        <is>
          <t>EPAN</t>
        </is>
      </c>
      <c r="N349" s="10" t="n">
        <v>20.95</v>
      </c>
      <c r="O349" s="11">
        <f>N349/G349-1</f>
        <v/>
      </c>
      <c r="P349" s="12" t="inlineStr">
        <is>
          <t>OK (≤ últ. compra)</t>
        </is>
      </c>
      <c r="Q349" s="8" t="inlineStr"/>
    </row>
    <row r="350">
      <c r="A350" s="8" t="n">
        <v>416441</v>
      </c>
      <c r="B350" s="8" t="inlineStr">
        <is>
          <t>7898906376410</t>
        </is>
      </c>
      <c r="C350" s="8" t="inlineStr">
        <is>
          <t>TIORFAN 100MG CX 9 CAP</t>
        </is>
      </c>
      <c r="D350" s="9" t="n">
        <v>1</v>
      </c>
      <c r="E350" s="9" t="n">
        <v>4</v>
      </c>
      <c r="F350" s="9" t="n">
        <v>4</v>
      </c>
      <c r="G350" s="10" t="n">
        <v>42.4033333333333</v>
      </c>
      <c r="H350" s="10" t="n">
        <v>38.6471</v>
      </c>
      <c r="I350" s="10" t="n">
        <v>42.4</v>
      </c>
      <c r="J350" s="10" t="n"/>
      <c r="K350" s="10" t="n"/>
      <c r="L350" s="10" t="n">
        <v>42.95</v>
      </c>
      <c r="M350" s="8" t="inlineStr">
        <is>
          <t>EPAN</t>
        </is>
      </c>
      <c r="N350" s="10" t="n">
        <v>42.4</v>
      </c>
      <c r="O350" s="11">
        <f>N350/G350-1</f>
        <v/>
      </c>
      <c r="P350" s="12" t="inlineStr">
        <is>
          <t>OK (≤ últ. compra)</t>
        </is>
      </c>
      <c r="Q350" s="8" t="inlineStr"/>
    </row>
    <row r="351">
      <c r="A351" s="8" t="n">
        <v>3153</v>
      </c>
      <c r="B351" s="8" t="inlineStr">
        <is>
          <t>7898301056757</t>
        </is>
      </c>
      <c r="C351" s="8" t="inlineStr">
        <is>
          <t>TIRA DE TESTE DE GLICOSE C/25 UND FREE 1</t>
        </is>
      </c>
      <c r="D351" s="9" t="n">
        <v>1</v>
      </c>
      <c r="E351" s="9" t="n">
        <v>1</v>
      </c>
      <c r="F351" s="9" t="n">
        <v>1</v>
      </c>
      <c r="G351" s="10" t="n">
        <v>46.42</v>
      </c>
      <c r="H351" s="10" t="n">
        <v>43.95</v>
      </c>
      <c r="I351" s="10" t="n">
        <v>39.88</v>
      </c>
      <c r="J351" s="10" t="n"/>
      <c r="K351" s="10" t="n"/>
      <c r="L351" s="10" t="n"/>
      <c r="M351" s="8" t="inlineStr">
        <is>
          <t>EPAN</t>
        </is>
      </c>
      <c r="N351" s="10" t="n">
        <v>39.88</v>
      </c>
      <c r="O351" s="11">
        <f>N351/G351-1</f>
        <v/>
      </c>
      <c r="P351" s="12" t="inlineStr">
        <is>
          <t>OK (≤ menor hist.)</t>
        </is>
      </c>
      <c r="Q351" s="8" t="inlineStr"/>
    </row>
    <row r="352">
      <c r="A352" s="8" t="n">
        <v>3163</v>
      </c>
      <c r="B352" s="8" t="inlineStr">
        <is>
          <t>7898301056740</t>
        </is>
      </c>
      <c r="C352" s="8" t="inlineStr">
        <is>
          <t>TIRA DE TESTE DE GLICOSE C/50 UND FREE 1</t>
        </is>
      </c>
      <c r="D352" s="9" t="n">
        <v>1</v>
      </c>
      <c r="E352" s="9" t="n">
        <v>16</v>
      </c>
      <c r="F352" s="9" t="n">
        <v>16</v>
      </c>
      <c r="G352" s="10" t="n">
        <v>51.625</v>
      </c>
      <c r="H352" s="10" t="n">
        <v>48.88</v>
      </c>
      <c r="I352" s="10" t="n">
        <v>52.34</v>
      </c>
      <c r="J352" s="10" t="n"/>
      <c r="K352" s="10" t="n"/>
      <c r="L352" s="10" t="n"/>
      <c r="M352" s="8" t="inlineStr">
        <is>
          <t>EPAN</t>
        </is>
      </c>
      <c r="N352" s="10" t="n">
        <v>52.34</v>
      </c>
      <c r="O352" s="11">
        <f>N352/G352-1</f>
        <v/>
      </c>
      <c r="P352" s="13" t="inlineStr">
        <is>
          <t>ACIMA +1.4% (vs últ. compra)</t>
        </is>
      </c>
      <c r="Q352" s="8" t="inlineStr"/>
    </row>
    <row r="353">
      <c r="A353" s="8" t="n">
        <v>615421</v>
      </c>
      <c r="B353" s="8" t="inlineStr">
        <is>
          <t>4005900889737</t>
        </is>
      </c>
      <c r="C353" s="8" t="inlineStr">
        <is>
          <t>TONICO NIVEA AQUA ROSE 200ML</t>
        </is>
      </c>
      <c r="D353" s="9" t="n">
        <v>1</v>
      </c>
      <c r="E353" s="9" t="n">
        <v>1</v>
      </c>
      <c r="F353" s="9" t="n">
        <v>1</v>
      </c>
      <c r="G353" s="10" t="n">
        <v>26.69</v>
      </c>
      <c r="H353" s="10" t="n">
        <v>25.87</v>
      </c>
      <c r="I353" s="10" t="n"/>
      <c r="J353" s="10" t="n"/>
      <c r="K353" s="10" t="n"/>
      <c r="L353" s="10" t="n"/>
      <c r="M353" s="8" t="inlineStr">
        <is>
          <t>SEM COTAÇÃO</t>
        </is>
      </c>
      <c r="N353" s="10" t="n"/>
      <c r="O353" s="11" t="n"/>
      <c r="P353" s="8" t="inlineStr"/>
      <c r="Q353" s="8" t="inlineStr"/>
    </row>
    <row r="354">
      <c r="A354" s="8" t="n">
        <v>596521</v>
      </c>
      <c r="B354" s="8" t="inlineStr">
        <is>
          <t>7894916516006</t>
        </is>
      </c>
      <c r="C354" s="8" t="inlineStr">
        <is>
          <t>TORAGESIC 10MG PEEL OFF CX 10 COMP</t>
        </is>
      </c>
      <c r="D354" s="9" t="n">
        <v>1</v>
      </c>
      <c r="E354" s="9" t="n">
        <v>2</v>
      </c>
      <c r="F354" s="9" t="n">
        <v>2</v>
      </c>
      <c r="G354" s="10" t="n">
        <v>26.0814285714286</v>
      </c>
      <c r="H354" s="10" t="n">
        <v>23.048</v>
      </c>
      <c r="I354" s="10" t="n">
        <v>26.08</v>
      </c>
      <c r="J354" s="10" t="n">
        <v>27.7</v>
      </c>
      <c r="K354" s="10" t="n">
        <v>26.81</v>
      </c>
      <c r="L354" s="10" t="n">
        <v>27.3792</v>
      </c>
      <c r="M354" s="8" t="inlineStr">
        <is>
          <t>EPAN</t>
        </is>
      </c>
      <c r="N354" s="10" t="n">
        <v>26.08</v>
      </c>
      <c r="O354" s="11">
        <f>N354/G354-1</f>
        <v/>
      </c>
      <c r="P354" s="12" t="inlineStr">
        <is>
          <t>OK (≤ últ. compra)</t>
        </is>
      </c>
      <c r="Q354" s="8" t="inlineStr"/>
    </row>
    <row r="355">
      <c r="A355" s="8" t="n">
        <v>558541</v>
      </c>
      <c r="B355" s="8" t="inlineStr">
        <is>
          <t>7891317015985</t>
        </is>
      </c>
      <c r="C355" s="8" t="inlineStr">
        <is>
          <t>TORANTE 15MG/ML XPE FR 100ML+COP</t>
        </is>
      </c>
      <c r="D355" s="9" t="n">
        <v>1</v>
      </c>
      <c r="E355" s="9" t="n">
        <v>2</v>
      </c>
      <c r="F355" s="9" t="n">
        <v>2</v>
      </c>
      <c r="G355" s="10" t="n">
        <v>50.52</v>
      </c>
      <c r="H355" s="10" t="n">
        <v>44.8</v>
      </c>
      <c r="I355" s="10" t="n"/>
      <c r="J355" s="10" t="n">
        <v>50.7</v>
      </c>
      <c r="K355" s="10" t="n"/>
      <c r="L355" s="10" t="n">
        <v>50.1792</v>
      </c>
      <c r="M355" s="8" t="inlineStr">
        <is>
          <t>NAZARIA</t>
        </is>
      </c>
      <c r="N355" s="10" t="n">
        <v>50.1792</v>
      </c>
      <c r="O355" s="11">
        <f>N355/G355-1</f>
        <v/>
      </c>
      <c r="P355" s="12" t="inlineStr">
        <is>
          <t>OK (≤ últ. compra)</t>
        </is>
      </c>
      <c r="Q355" s="8" t="inlineStr"/>
    </row>
    <row r="356">
      <c r="A356" s="8" t="n">
        <v>210541</v>
      </c>
      <c r="B356" s="8" t="inlineStr">
        <is>
          <t>7891317005931</t>
        </is>
      </c>
      <c r="C356" s="8" t="inlineStr">
        <is>
          <t>TRIMUSK 125+50+300+30MG CX 15 COMP</t>
        </is>
      </c>
      <c r="D356" s="9" t="n">
        <v>1</v>
      </c>
      <c r="E356" s="9" t="n">
        <v>11</v>
      </c>
      <c r="F356" s="9" t="n">
        <v>11</v>
      </c>
      <c r="G356" s="10" t="n">
        <v>17.91</v>
      </c>
      <c r="H356" s="10" t="n">
        <v>16.955</v>
      </c>
      <c r="I356" s="10" t="n"/>
      <c r="J356" s="10" t="n">
        <v>18.5</v>
      </c>
      <c r="K356" s="10" t="n">
        <v>17.91</v>
      </c>
      <c r="L356" s="10" t="n">
        <v>18.288</v>
      </c>
      <c r="M356" s="8" t="inlineStr">
        <is>
          <t>TAPAJOS</t>
        </is>
      </c>
      <c r="N356" s="10" t="n">
        <v>17.91</v>
      </c>
      <c r="O356" s="11">
        <f>N356/G356-1</f>
        <v/>
      </c>
      <c r="P356" s="12" t="inlineStr">
        <is>
          <t>OK (≤ últ. compra)</t>
        </is>
      </c>
      <c r="Q356" s="8" t="inlineStr"/>
    </row>
    <row r="357">
      <c r="A357" s="8" t="n">
        <v>207441</v>
      </c>
      <c r="B357" s="8" t="inlineStr">
        <is>
          <t>7896226102504</t>
        </is>
      </c>
      <c r="C357" s="8" t="inlineStr">
        <is>
          <t>TRIVAGEL-N CREME VAG BG 60G+10APLIC</t>
        </is>
      </c>
      <c r="D357" s="9" t="n">
        <v>1</v>
      </c>
      <c r="E357" s="9" t="n">
        <v>1</v>
      </c>
      <c r="F357" s="9" t="n">
        <v>1</v>
      </c>
      <c r="G357" s="10" t="n">
        <v>73.675</v>
      </c>
      <c r="H357" s="10" t="n">
        <v>63.0967</v>
      </c>
      <c r="I357" s="10" t="n">
        <v>73.68000000000001</v>
      </c>
      <c r="J357" s="10" t="n">
        <v>74.8</v>
      </c>
      <c r="K357" s="10" t="n">
        <v>72.44</v>
      </c>
      <c r="L357" s="10" t="n">
        <v>77.06</v>
      </c>
      <c r="M357" s="8" t="inlineStr">
        <is>
          <t>TAPAJOS</t>
        </is>
      </c>
      <c r="N357" s="10" t="n">
        <v>72.44</v>
      </c>
      <c r="O357" s="11">
        <f>N357/G357-1</f>
        <v/>
      </c>
      <c r="P357" s="12" t="inlineStr">
        <is>
          <t>OK (≤ últ. compra)</t>
        </is>
      </c>
      <c r="Q357" s="8" t="inlineStr"/>
    </row>
    <row r="358">
      <c r="A358" s="8" t="n">
        <v>451961</v>
      </c>
      <c r="B358" s="8" t="inlineStr">
        <is>
          <t>7891317412555</t>
        </is>
      </c>
      <c r="C358" s="8" t="inlineStr">
        <is>
          <t>TROK-N POM TB 10G</t>
        </is>
      </c>
      <c r="D358" s="9" t="n">
        <v>1</v>
      </c>
      <c r="E358" s="9" t="n">
        <v>5</v>
      </c>
      <c r="F358" s="9" t="n">
        <v>5</v>
      </c>
      <c r="G358" s="10" t="n">
        <v>15.35</v>
      </c>
      <c r="H358" s="10" t="n">
        <v>14.345</v>
      </c>
      <c r="I358" s="10" t="n">
        <v>15.79</v>
      </c>
      <c r="J358" s="10" t="n"/>
      <c r="K358" s="10" t="n">
        <v>15.35</v>
      </c>
      <c r="L358" s="10" t="n">
        <v>15.6768</v>
      </c>
      <c r="M358" s="8" t="inlineStr">
        <is>
          <t>TAPAJOS</t>
        </is>
      </c>
      <c r="N358" s="10" t="n">
        <v>15.35</v>
      </c>
      <c r="O358" s="11">
        <f>N358/G358-1</f>
        <v/>
      </c>
      <c r="P358" s="12" t="inlineStr">
        <is>
          <t>OK (≤ últ. compra)</t>
        </is>
      </c>
      <c r="Q358" s="8" t="inlineStr"/>
    </row>
    <row r="359">
      <c r="A359" s="8" t="n">
        <v>282781</v>
      </c>
      <c r="B359" s="8" t="inlineStr">
        <is>
          <t>7896255717885</t>
        </is>
      </c>
      <c r="C359" s="8" t="inlineStr">
        <is>
          <t>TROMBOFOB 200UI GEL BG 40G</t>
        </is>
      </c>
      <c r="D359" s="9" t="n">
        <v>1</v>
      </c>
      <c r="E359" s="9" t="n">
        <v>5</v>
      </c>
      <c r="F359" s="9" t="n">
        <v>5</v>
      </c>
      <c r="G359" s="10" t="n">
        <v>32.62</v>
      </c>
      <c r="H359" s="10" t="n">
        <v>25.57</v>
      </c>
      <c r="I359" s="10" t="n">
        <v>32.62</v>
      </c>
      <c r="J359" s="10" t="n">
        <v>33.9</v>
      </c>
      <c r="K359" s="10" t="n">
        <v>32.85</v>
      </c>
      <c r="L359" s="10" t="n">
        <v>34.94</v>
      </c>
      <c r="M359" s="8" t="inlineStr">
        <is>
          <t>EPAN</t>
        </is>
      </c>
      <c r="N359" s="10" t="n">
        <v>32.62</v>
      </c>
      <c r="O359" s="11">
        <f>N359/G359-1</f>
        <v/>
      </c>
      <c r="P359" s="12" t="inlineStr">
        <is>
          <t>OK (≤ últ. compra)</t>
        </is>
      </c>
      <c r="Q359" s="8" t="inlineStr"/>
    </row>
    <row r="360">
      <c r="A360" s="8" t="n">
        <v>70821</v>
      </c>
      <c r="B360" s="8" t="inlineStr">
        <is>
          <t>7894916208154</t>
        </is>
      </c>
      <c r="C360" s="8" t="inlineStr">
        <is>
          <t>TROPINAL CX 20 COMP</t>
        </is>
      </c>
      <c r="D360" s="9" t="n">
        <v>1</v>
      </c>
      <c r="E360" s="9" t="n">
        <v>3</v>
      </c>
      <c r="F360" s="9" t="n">
        <v>3</v>
      </c>
      <c r="G360" s="10" t="n">
        <v>19.8855555555556</v>
      </c>
      <c r="H360" s="10" t="n">
        <v>18.914</v>
      </c>
      <c r="I360" s="10" t="n">
        <v>19.89</v>
      </c>
      <c r="J360" s="10" t="n">
        <v>20.2</v>
      </c>
      <c r="K360" s="10" t="n">
        <v>19.55</v>
      </c>
      <c r="L360" s="10" t="n">
        <v>19.968</v>
      </c>
      <c r="M360" s="8" t="inlineStr">
        <is>
          <t>TAPAJOS</t>
        </is>
      </c>
      <c r="N360" s="10" t="n">
        <v>19.55</v>
      </c>
      <c r="O360" s="11">
        <f>N360/G360-1</f>
        <v/>
      </c>
      <c r="P360" s="12" t="inlineStr">
        <is>
          <t>OK (≤ últ. compra)</t>
        </is>
      </c>
      <c r="Q360" s="8" t="inlineStr"/>
    </row>
    <row r="361">
      <c r="A361" s="8" t="n">
        <v>395781</v>
      </c>
      <c r="B361" s="8" t="inlineStr">
        <is>
          <t>7891010986155</t>
        </is>
      </c>
      <c r="C361" s="8" t="inlineStr">
        <is>
          <t>TYLENOL 500MG CX 20 COMP REV</t>
        </is>
      </c>
      <c r="D361" s="9" t="n">
        <v>1</v>
      </c>
      <c r="E361" s="9" t="n">
        <v>3</v>
      </c>
      <c r="F361" s="9" t="n">
        <v>3</v>
      </c>
      <c r="G361" s="10" t="n">
        <v>27.43</v>
      </c>
      <c r="H361" s="10" t="n">
        <v>27.43</v>
      </c>
      <c r="I361" s="10" t="n"/>
      <c r="J361" s="10" t="n">
        <v>29.8</v>
      </c>
      <c r="K361" s="10" t="n"/>
      <c r="L361" s="10" t="n">
        <v>30.69</v>
      </c>
      <c r="M361" s="8" t="inlineStr">
        <is>
          <t>SB LOG</t>
        </is>
      </c>
      <c r="N361" s="10" t="n">
        <v>29.8</v>
      </c>
      <c r="O361" s="11">
        <f>N361/G361-1</f>
        <v/>
      </c>
      <c r="P361" s="13" t="inlineStr">
        <is>
          <t>ACIMA +8.6% (vs últ. compra)</t>
        </is>
      </c>
      <c r="Q361" s="8" t="inlineStr"/>
    </row>
    <row r="362">
      <c r="A362" s="8" t="n">
        <v>398541</v>
      </c>
      <c r="B362" s="8" t="inlineStr">
        <is>
          <t>7891010256968</t>
        </is>
      </c>
      <c r="C362" s="8" t="inlineStr">
        <is>
          <t>TYLENOL SINUS 500+30MG CX 24 COMP REV</t>
        </is>
      </c>
      <c r="D362" s="9" t="n">
        <v>1</v>
      </c>
      <c r="E362" s="9" t="n">
        <v>2</v>
      </c>
      <c r="F362" s="9" t="n">
        <v>2</v>
      </c>
      <c r="G362" s="10" t="n">
        <v>16.83</v>
      </c>
      <c r="H362" s="10" t="n">
        <v>16.8</v>
      </c>
      <c r="I362" s="10" t="n">
        <v>18.27</v>
      </c>
      <c r="J362" s="10" t="n">
        <v>18.1</v>
      </c>
      <c r="K362" s="10" t="n"/>
      <c r="L362" s="10" t="n">
        <v>18.71</v>
      </c>
      <c r="M362" s="8" t="inlineStr">
        <is>
          <t>SB LOG</t>
        </is>
      </c>
      <c r="N362" s="10" t="n">
        <v>18.1</v>
      </c>
      <c r="O362" s="11">
        <f>N362/G362-1</f>
        <v/>
      </c>
      <c r="P362" s="13" t="inlineStr">
        <is>
          <t>ACIMA +7.5% (vs últ. compra)</t>
        </is>
      </c>
      <c r="Q362" s="8" t="inlineStr"/>
    </row>
    <row r="363">
      <c r="A363" s="8" t="n">
        <v>413241</v>
      </c>
      <c r="B363" s="8" t="inlineStr">
        <is>
          <t>7898948648148</t>
        </is>
      </c>
      <c r="C363" s="8" t="inlineStr">
        <is>
          <t>UTROGESTAN 200MG CX 14 CAP</t>
        </is>
      </c>
      <c r="D363" s="9" t="n">
        <v>1</v>
      </c>
      <c r="E363" s="9" t="n">
        <v>2</v>
      </c>
      <c r="F363" s="9" t="n">
        <v>2</v>
      </c>
      <c r="G363" s="10" t="n">
        <v>60.36</v>
      </c>
      <c r="H363" s="10" t="n">
        <v>53.0533</v>
      </c>
      <c r="I363" s="10" t="n"/>
      <c r="J363" s="10" t="n">
        <v>59.3</v>
      </c>
      <c r="K363" s="10" t="n"/>
      <c r="L363" s="10" t="n">
        <v>58.95</v>
      </c>
      <c r="M363" s="8" t="inlineStr">
        <is>
          <t>NAZARIA</t>
        </is>
      </c>
      <c r="N363" s="10" t="n">
        <v>58.95</v>
      </c>
      <c r="O363" s="11">
        <f>N363/G363-1</f>
        <v/>
      </c>
      <c r="P363" s="12" t="inlineStr">
        <is>
          <t>OK (≤ últ. compra)</t>
        </is>
      </c>
      <c r="Q363" s="8" t="inlineStr"/>
    </row>
    <row r="364">
      <c r="A364" s="8" t="n">
        <v>654341</v>
      </c>
      <c r="B364" s="8" t="inlineStr">
        <is>
          <t>7891653014277</t>
        </is>
      </c>
      <c r="C364" s="8" t="inlineStr">
        <is>
          <t>VAGISIL DEO INTIMO FLOR DE PESSEGUEIRO 75ML</t>
        </is>
      </c>
      <c r="D364" s="9" t="n">
        <v>1</v>
      </c>
      <c r="E364" s="9" t="n">
        <v>1</v>
      </c>
      <c r="F364" s="9" t="n">
        <v>1</v>
      </c>
      <c r="G364" s="10" t="n">
        <v>22.8866666666667</v>
      </c>
      <c r="H364" s="10" t="n">
        <v>22.8866666666667</v>
      </c>
      <c r="I364" s="10" t="n"/>
      <c r="J364" s="10" t="n"/>
      <c r="K364" s="10" t="n"/>
      <c r="L364" s="10" t="n"/>
      <c r="M364" s="8" t="inlineStr">
        <is>
          <t>SEM COTAÇÃO</t>
        </is>
      </c>
      <c r="N364" s="10" t="n"/>
      <c r="O364" s="11" t="n"/>
      <c r="P364" s="8" t="inlineStr"/>
      <c r="Q364" s="8" t="inlineStr"/>
    </row>
    <row r="365">
      <c r="A365" s="8" t="n">
        <v>654331</v>
      </c>
      <c r="B365" s="8" t="inlineStr">
        <is>
          <t>7891653014260</t>
        </is>
      </c>
      <c r="C365" s="8" t="inlineStr">
        <is>
          <t>VAGISIL DEO INTIMO JASMIN BRANCO 75ML</t>
        </is>
      </c>
      <c r="D365" s="9" t="n">
        <v>1</v>
      </c>
      <c r="E365" s="9" t="n">
        <v>1</v>
      </c>
      <c r="F365" s="9" t="n">
        <v>1</v>
      </c>
      <c r="G365" s="10" t="n">
        <v>24.47</v>
      </c>
      <c r="H365" s="10" t="n">
        <v>24.47</v>
      </c>
      <c r="I365" s="10" t="n"/>
      <c r="J365" s="10" t="n"/>
      <c r="K365" s="10" t="n"/>
      <c r="L365" s="10" t="n">
        <v>23.9661</v>
      </c>
      <c r="M365" s="8" t="inlineStr">
        <is>
          <t>NAZARIA</t>
        </is>
      </c>
      <c r="N365" s="10" t="n">
        <v>23.9661</v>
      </c>
      <c r="O365" s="11">
        <f>N365/G365-1</f>
        <v/>
      </c>
      <c r="P365" s="12" t="inlineStr">
        <is>
          <t>OK (≤ menor hist.)</t>
        </is>
      </c>
      <c r="Q365" s="8" t="inlineStr"/>
    </row>
    <row r="366">
      <c r="A366" s="8" t="n">
        <v>662301</v>
      </c>
      <c r="B366" s="8" t="inlineStr">
        <is>
          <t>7891653014031</t>
        </is>
      </c>
      <c r="C366" s="8" t="inlineStr">
        <is>
          <t>VAGISIL DEO INTIMO ODOR BLOCK 60ML</t>
        </is>
      </c>
      <c r="D366" s="9" t="n">
        <v>1</v>
      </c>
      <c r="E366" s="9" t="n">
        <v>1</v>
      </c>
      <c r="F366" s="9" t="n">
        <v>1</v>
      </c>
      <c r="G366" s="10" t="n">
        <v>22.43</v>
      </c>
      <c r="H366" s="10" t="n">
        <v>22.42</v>
      </c>
      <c r="I366" s="10" t="n"/>
      <c r="J366" s="10" t="n"/>
      <c r="K366" s="10" t="n"/>
      <c r="L366" s="10" t="n">
        <v>20.8599</v>
      </c>
      <c r="M366" s="8" t="inlineStr">
        <is>
          <t>NAZARIA</t>
        </is>
      </c>
      <c r="N366" s="10" t="n">
        <v>20.8599</v>
      </c>
      <c r="O366" s="11">
        <f>N366/G366-1</f>
        <v/>
      </c>
      <c r="P366" s="12" t="inlineStr">
        <is>
          <t>OK (≤ menor hist.)</t>
        </is>
      </c>
      <c r="Q366" s="8" t="inlineStr"/>
    </row>
    <row r="367">
      <c r="A367" s="8" t="n">
        <v>547861</v>
      </c>
      <c r="B367" s="8" t="inlineStr">
        <is>
          <t>78900776</t>
        </is>
      </c>
      <c r="C367" s="8" t="inlineStr">
        <is>
          <t>VALDA CLASSIC LATA PASTILHAS 50G</t>
        </is>
      </c>
      <c r="D367" s="9" t="n">
        <v>10</v>
      </c>
      <c r="E367" s="9" t="n">
        <v>1</v>
      </c>
      <c r="F367" s="9" t="n">
        <v>10</v>
      </c>
      <c r="G367" s="10" t="n">
        <v>16.614</v>
      </c>
      <c r="H367" s="10" t="n">
        <v>15.674</v>
      </c>
      <c r="I367" s="10" t="n"/>
      <c r="J367" s="10" t="n"/>
      <c r="K367" s="10" t="n"/>
      <c r="L367" s="10" t="n"/>
      <c r="M367" s="8" t="inlineStr">
        <is>
          <t>SEM COTAÇÃO</t>
        </is>
      </c>
      <c r="N367" s="10" t="n"/>
      <c r="O367" s="11" t="n"/>
      <c r="P367" s="8" t="inlineStr"/>
      <c r="Q367" s="8" t="inlineStr"/>
    </row>
    <row r="368">
      <c r="A368" s="8" t="n">
        <v>543061</v>
      </c>
      <c r="B368" s="8" t="inlineStr"/>
      <c r="C368" s="8" t="inlineStr">
        <is>
          <t>VALDA FRIENDS PASTILHA SACHE 25G</t>
        </is>
      </c>
      <c r="D368" s="9" t="n">
        <v>10</v>
      </c>
      <c r="E368" s="9" t="n">
        <v>1</v>
      </c>
      <c r="F368" s="9" t="n">
        <v>10</v>
      </c>
      <c r="G368" s="10" t="n">
        <v>5.734</v>
      </c>
      <c r="H368" s="10" t="n">
        <v>5.734</v>
      </c>
      <c r="I368" s="10" t="n"/>
      <c r="J368" s="10" t="n"/>
      <c r="K368" s="10" t="n"/>
      <c r="L368" s="10" t="n"/>
      <c r="M368" s="8" t="inlineStr">
        <is>
          <t>SEM COTAÇÃO</t>
        </is>
      </c>
      <c r="N368" s="10" t="n"/>
      <c r="O368" s="11" t="n"/>
      <c r="P368" s="8" t="inlineStr"/>
      <c r="Q368" s="8" t="inlineStr"/>
    </row>
    <row r="369">
      <c r="A369" s="8" t="n">
        <v>596721</v>
      </c>
      <c r="B369" s="8" t="inlineStr">
        <is>
          <t>7898040329112</t>
        </is>
      </c>
      <c r="C369" s="8" t="inlineStr">
        <is>
          <t>VARICELL CREME BG 150G</t>
        </is>
      </c>
      <c r="D369" s="9" t="n">
        <v>1</v>
      </c>
      <c r="E369" s="9" t="n">
        <v>2</v>
      </c>
      <c r="F369" s="9" t="n">
        <v>2</v>
      </c>
      <c r="G369" s="10" t="n">
        <v>28.28</v>
      </c>
      <c r="H369" s="10" t="n">
        <v>18.49</v>
      </c>
      <c r="I369" s="10" t="n"/>
      <c r="J369" s="10" t="n">
        <v>31.4</v>
      </c>
      <c r="K369" s="10" t="n">
        <v>29.62</v>
      </c>
      <c r="L369" s="10" t="n">
        <v>31.43</v>
      </c>
      <c r="M369" s="8" t="inlineStr">
        <is>
          <t>TAPAJOS</t>
        </is>
      </c>
      <c r="N369" s="10" t="n">
        <v>29.62</v>
      </c>
      <c r="O369" s="11">
        <f>N369/G369-1</f>
        <v/>
      </c>
      <c r="P369" s="13" t="inlineStr">
        <is>
          <t>ACIMA +4.7% (vs últ. compra)</t>
        </is>
      </c>
      <c r="Q369" s="8" t="inlineStr"/>
    </row>
    <row r="370">
      <c r="A370" s="8" t="n">
        <v>615331</v>
      </c>
      <c r="B370" s="8" t="inlineStr">
        <is>
          <t>4005808881512</t>
        </is>
      </c>
      <c r="C370" s="8" t="inlineStr">
        <is>
          <t>VENCIDO - GEL NIVEA ANTI-CELULIT BYEBYE CEL 201ML</t>
        </is>
      </c>
      <c r="D370" s="9" t="n">
        <v>1</v>
      </c>
      <c r="E370" s="9" t="n">
        <v>1</v>
      </c>
      <c r="F370" s="9" t="n">
        <v>1</v>
      </c>
      <c r="G370" s="10" t="n">
        <v>38.975</v>
      </c>
      <c r="H370" s="10" t="n">
        <v>38.975</v>
      </c>
      <c r="I370" s="10" t="n"/>
      <c r="J370" s="10" t="n"/>
      <c r="K370" s="10" t="n"/>
      <c r="L370" s="10" t="n"/>
      <c r="M370" s="8" t="inlineStr">
        <is>
          <t>SEM COTAÇÃO</t>
        </is>
      </c>
      <c r="N370" s="10" t="n"/>
      <c r="O370" s="11" t="n"/>
      <c r="P370" s="8" t="inlineStr"/>
      <c r="Q370" s="8" t="inlineStr"/>
    </row>
    <row r="371">
      <c r="A371" s="8" t="n">
        <v>621491</v>
      </c>
      <c r="B371" s="8" t="inlineStr">
        <is>
          <t>7896004789545</t>
        </is>
      </c>
      <c r="C371" s="8" t="inlineStr">
        <is>
          <t>VENCIDO - LEFOR 2,5MG CX 30 COMP</t>
        </is>
      </c>
      <c r="D371" s="9" t="n">
        <v>1</v>
      </c>
      <c r="E371" s="9" t="n">
        <v>1</v>
      </c>
      <c r="F371" s="9" t="n">
        <v>1</v>
      </c>
      <c r="G371" s="10" t="n">
        <v>42.835</v>
      </c>
      <c r="H371" s="10" t="n">
        <v>42.835</v>
      </c>
      <c r="I371" s="10" t="n"/>
      <c r="J371" s="10" t="n"/>
      <c r="K371" s="10" t="n"/>
      <c r="L371" s="10" t="n">
        <v>46.0128</v>
      </c>
      <c r="M371" s="8" t="inlineStr">
        <is>
          <t>NAZARIA</t>
        </is>
      </c>
      <c r="N371" s="10" t="n">
        <v>46.0128</v>
      </c>
      <c r="O371" s="11">
        <f>N371/G371-1</f>
        <v/>
      </c>
      <c r="P371" s="13" t="inlineStr">
        <is>
          <t>ACIMA +7.4% (vs últ. compra)</t>
        </is>
      </c>
      <c r="Q371" s="8" t="inlineStr"/>
    </row>
    <row r="372">
      <c r="A372" s="8" t="n">
        <v>612521</v>
      </c>
      <c r="B372" s="8" t="inlineStr">
        <is>
          <t>7891317011390</t>
        </is>
      </c>
      <c r="C372" s="8" t="inlineStr">
        <is>
          <t>VENCIDO - NAIRE 20MG CX 15 COMP</t>
        </is>
      </c>
      <c r="D372" s="9" t="n">
        <v>1</v>
      </c>
      <c r="E372" s="9" t="n">
        <v>1</v>
      </c>
      <c r="F372" s="9" t="n">
        <v>1</v>
      </c>
      <c r="G372" s="10" t="n">
        <v>51.49</v>
      </c>
      <c r="H372" s="10" t="n">
        <v>51.49</v>
      </c>
      <c r="I372" s="10" t="n"/>
      <c r="J372" s="10" t="n"/>
      <c r="K372" s="10" t="n"/>
      <c r="L372" s="10" t="n"/>
      <c r="M372" s="8" t="inlineStr">
        <is>
          <t>SEM COTAÇÃO</t>
        </is>
      </c>
      <c r="N372" s="10" t="n"/>
      <c r="O372" s="11" t="n"/>
      <c r="P372" s="8" t="inlineStr"/>
      <c r="Q372" s="8" t="inlineStr"/>
    </row>
    <row r="373">
      <c r="A373" s="8" t="n">
        <v>319361</v>
      </c>
      <c r="B373" s="8" t="inlineStr">
        <is>
          <t>7891045008440</t>
        </is>
      </c>
      <c r="C373" s="8" t="inlineStr">
        <is>
          <t>VENCIDO - NORDETTE 0,15+0,03MG CARTELA C/21</t>
        </is>
      </c>
      <c r="D373" s="9" t="n">
        <v>1</v>
      </c>
      <c r="E373" s="9" t="n">
        <v>1</v>
      </c>
      <c r="F373" s="9" t="n">
        <v>1</v>
      </c>
      <c r="G373" s="10" t="n">
        <v>8.619999999999999</v>
      </c>
      <c r="H373" s="10" t="n">
        <v>8.619999999999999</v>
      </c>
      <c r="I373" s="10" t="n">
        <v>29.08</v>
      </c>
      <c r="J373" s="10" t="n"/>
      <c r="K373" s="10" t="n"/>
      <c r="L373" s="10" t="n"/>
      <c r="M373" s="8" t="inlineStr">
        <is>
          <t>SEM COTAÇÃO</t>
        </is>
      </c>
      <c r="N373" s="10" t="n"/>
      <c r="O373" s="11" t="n"/>
      <c r="P373" s="8" t="inlineStr"/>
      <c r="Q373" s="8" t="inlineStr">
        <is>
          <t>sem estoque no ePan</t>
        </is>
      </c>
    </row>
    <row r="374">
      <c r="A374" s="8" t="n">
        <v>344301</v>
      </c>
      <c r="B374" s="8" t="inlineStr">
        <is>
          <t>7896641808777</t>
        </is>
      </c>
      <c r="C374" s="8" t="inlineStr">
        <is>
          <t>VENCIDO - PV MESACOL 250 MG SUP RET CT BERCO X 15</t>
        </is>
      </c>
      <c r="D374" s="9" t="n">
        <v>1</v>
      </c>
      <c r="E374" s="9" t="n">
        <v>1</v>
      </c>
      <c r="F374" s="9" t="n">
        <v>1</v>
      </c>
      <c r="G374" s="10" t="n">
        <v>56.86</v>
      </c>
      <c r="H374" s="10" t="n">
        <v>56.86</v>
      </c>
      <c r="I374" s="10" t="n"/>
      <c r="J374" s="10" t="n">
        <v>60.6</v>
      </c>
      <c r="K374" s="10" t="n"/>
      <c r="L374" s="10" t="n"/>
      <c r="M374" s="8" t="inlineStr">
        <is>
          <t>SB LOG</t>
        </is>
      </c>
      <c r="N374" s="10" t="n">
        <v>60.6</v>
      </c>
      <c r="O374" s="11">
        <f>N374/G374-1</f>
        <v/>
      </c>
      <c r="P374" s="13" t="inlineStr">
        <is>
          <t>ACIMA +6.6% (vs últ. compra)</t>
        </is>
      </c>
      <c r="Q374" s="8" t="inlineStr"/>
    </row>
    <row r="375">
      <c r="A375" s="8" t="n">
        <v>612541</v>
      </c>
      <c r="B375" s="8" t="inlineStr">
        <is>
          <t>7891317010379</t>
        </is>
      </c>
      <c r="C375" s="8" t="inlineStr">
        <is>
          <t>VENTUS 50MCG SUS SPR NAS FR 60 ACIONAMENTOS</t>
        </is>
      </c>
      <c r="D375" s="9" t="n">
        <v>1</v>
      </c>
      <c r="E375" s="9" t="n">
        <v>2</v>
      </c>
      <c r="F375" s="9" t="n">
        <v>2</v>
      </c>
      <c r="G375" s="10" t="n">
        <v>35.24</v>
      </c>
      <c r="H375" s="10" t="n">
        <v>31.645</v>
      </c>
      <c r="I375" s="10" t="n">
        <v>35.24</v>
      </c>
      <c r="J375" s="10" t="n">
        <v>35.4</v>
      </c>
      <c r="K375" s="10" t="n"/>
      <c r="L375" s="10" t="n">
        <v>35.0112</v>
      </c>
      <c r="M375" s="8" t="inlineStr">
        <is>
          <t>NAZARIA</t>
        </is>
      </c>
      <c r="N375" s="10" t="n">
        <v>35.0112</v>
      </c>
      <c r="O375" s="11">
        <f>N375/G375-1</f>
        <v/>
      </c>
      <c r="P375" s="12" t="inlineStr">
        <is>
          <t>OK (≤ últ. compra)</t>
        </is>
      </c>
      <c r="Q375" s="8" t="inlineStr"/>
    </row>
    <row r="376">
      <c r="A376" s="8" t="n">
        <v>285761</v>
      </c>
      <c r="B376" s="8" t="inlineStr">
        <is>
          <t>7896094206403</t>
        </is>
      </c>
      <c r="C376" s="8" t="inlineStr">
        <is>
          <t>VENZER HCT 8+12,5MG CX 30 COMP</t>
        </is>
      </c>
      <c r="D376" s="9" t="n">
        <v>1</v>
      </c>
      <c r="E376" s="9" t="n">
        <v>1</v>
      </c>
      <c r="F376" s="9" t="n">
        <v>1</v>
      </c>
      <c r="G376" s="10" t="n">
        <v>73.66</v>
      </c>
      <c r="H376" s="10" t="n">
        <v>68.315</v>
      </c>
      <c r="I376" s="10" t="n">
        <v>73.66</v>
      </c>
      <c r="J376" s="10" t="n">
        <v>70.90000000000001</v>
      </c>
      <c r="K376" s="10" t="n"/>
      <c r="L376" s="10" t="n">
        <v>70.8779</v>
      </c>
      <c r="M376" s="8" t="inlineStr">
        <is>
          <t>NAZARIA</t>
        </is>
      </c>
      <c r="N376" s="10" t="n">
        <v>70.8779</v>
      </c>
      <c r="O376" s="11">
        <f>N376/G376-1</f>
        <v/>
      </c>
      <c r="P376" s="12" t="inlineStr">
        <is>
          <t>OK (≤ últ. compra)</t>
        </is>
      </c>
      <c r="Q376" s="8" t="inlineStr"/>
    </row>
    <row r="377">
      <c r="A377" s="8" t="n">
        <v>16681</v>
      </c>
      <c r="B377" s="8" t="inlineStr">
        <is>
          <t>7898109241485</t>
        </is>
      </c>
      <c r="C377" s="8" t="inlineStr">
        <is>
          <t>VI-FERRIN 150+0,25+7,5MCG SOL OR FR X 20ML</t>
        </is>
      </c>
      <c r="D377" s="9" t="n">
        <v>1</v>
      </c>
      <c r="E377" s="9" t="n">
        <v>4</v>
      </c>
      <c r="F377" s="9" t="n">
        <v>4</v>
      </c>
      <c r="G377" s="10" t="n">
        <v>29.05</v>
      </c>
      <c r="H377" s="10" t="n">
        <v>29.05</v>
      </c>
      <c r="I377" s="10" t="n"/>
      <c r="J377" s="10" t="n">
        <v>31.3</v>
      </c>
      <c r="K377" s="10" t="n">
        <v>29.05</v>
      </c>
      <c r="L377" s="10" t="n">
        <v>32.28</v>
      </c>
      <c r="M377" s="8" t="inlineStr">
        <is>
          <t>TAPAJOS</t>
        </is>
      </c>
      <c r="N377" s="10" t="n">
        <v>29.05</v>
      </c>
      <c r="O377" s="11">
        <f>N377/G377-1</f>
        <v/>
      </c>
      <c r="P377" s="12" t="inlineStr">
        <is>
          <t>OK (≤ menor hist.)</t>
        </is>
      </c>
      <c r="Q377" s="8" t="inlineStr"/>
    </row>
    <row r="378">
      <c r="A378" s="8" t="n">
        <v>993</v>
      </c>
      <c r="B378" s="8" t="inlineStr">
        <is>
          <t>75075644</t>
        </is>
      </c>
      <c r="C378" s="8" t="inlineStr">
        <is>
          <t>VICK BABY RUB 12G LATA</t>
        </is>
      </c>
      <c r="D378" s="9" t="n">
        <v>6</v>
      </c>
      <c r="E378" s="9" t="n">
        <v>8</v>
      </c>
      <c r="F378" s="9" t="n">
        <v>48</v>
      </c>
      <c r="G378" s="10" t="n">
        <v>15.8375</v>
      </c>
      <c r="H378" s="10" t="n">
        <v>13.1538</v>
      </c>
      <c r="I378" s="10" t="n"/>
      <c r="J378" s="10" t="n"/>
      <c r="K378" s="10" t="n"/>
      <c r="L378" s="10" t="n"/>
      <c r="M378" s="8" t="inlineStr">
        <is>
          <t>SEM COTAÇÃO</t>
        </is>
      </c>
      <c r="N378" s="10" t="n"/>
      <c r="O378" s="11" t="n"/>
      <c r="P378" s="8" t="inlineStr"/>
      <c r="Q378" s="8" t="inlineStr"/>
    </row>
    <row r="379">
      <c r="A379" s="8" t="n">
        <v>318341</v>
      </c>
      <c r="B379" s="8" t="inlineStr">
        <is>
          <t>78911239</t>
        </is>
      </c>
      <c r="C379" s="8" t="inlineStr">
        <is>
          <t>VICK INALADOR 0.5G DESC NASAL UNID</t>
        </is>
      </c>
      <c r="D379" s="9" t="n">
        <v>12</v>
      </c>
      <c r="E379" s="9" t="n">
        <v>2</v>
      </c>
      <c r="F379" s="9" t="n">
        <v>24</v>
      </c>
      <c r="G379" s="10" t="n">
        <v>16.2391666666667</v>
      </c>
      <c r="H379" s="10" t="n">
        <v>12.3925</v>
      </c>
      <c r="I379" s="10" t="n"/>
      <c r="J379" s="10" t="n"/>
      <c r="K379" s="10" t="n">
        <v>15.87833333333333</v>
      </c>
      <c r="L379" s="10" t="n"/>
      <c r="M379" s="8" t="inlineStr">
        <is>
          <t>TAPAJOS</t>
        </is>
      </c>
      <c r="N379" s="10" t="n">
        <v>15.87833333333333</v>
      </c>
      <c r="O379" s="11">
        <f>N379/G379-1</f>
        <v/>
      </c>
      <c r="P379" s="12" t="inlineStr">
        <is>
          <t>OK (≤ últ. compra)</t>
        </is>
      </c>
      <c r="Q379" s="8" t="inlineStr"/>
    </row>
    <row r="380">
      <c r="A380" s="8" t="n">
        <v>600581</v>
      </c>
      <c r="B380" s="8" t="inlineStr">
        <is>
          <t>7501001246730</t>
        </is>
      </c>
      <c r="C380" s="8" t="inlineStr">
        <is>
          <t>VICK LATINHA 12G</t>
        </is>
      </c>
      <c r="D380" s="9" t="n">
        <v>24</v>
      </c>
      <c r="E380" s="9" t="n">
        <v>6</v>
      </c>
      <c r="F380" s="9" t="n">
        <v>144</v>
      </c>
      <c r="G380" s="10" t="n">
        <v>17.0408333333333</v>
      </c>
      <c r="H380" s="10" t="n">
        <v>11.9136</v>
      </c>
      <c r="I380" s="10" t="n"/>
      <c r="J380" s="10" t="n"/>
      <c r="K380" s="10" t="n"/>
      <c r="L380" s="10" t="n"/>
      <c r="M380" s="8" t="inlineStr">
        <is>
          <t>SEM COTAÇÃO</t>
        </is>
      </c>
      <c r="N380" s="10" t="n"/>
      <c r="O380" s="11" t="n"/>
      <c r="P380" s="8" t="inlineStr"/>
      <c r="Q380" s="8" t="inlineStr"/>
    </row>
    <row r="381">
      <c r="A381" s="8" t="n">
        <v>395921</v>
      </c>
      <c r="B381" s="8" t="inlineStr">
        <is>
          <t>78911246</t>
        </is>
      </c>
      <c r="C381" s="8" t="inlineStr">
        <is>
          <t>VICK PYRENA 500MG CHA MEL E LIMAO 5G - CAIXA</t>
        </is>
      </c>
      <c r="D381" s="9" t="n">
        <v>50</v>
      </c>
      <c r="E381" s="9" t="n">
        <v>4</v>
      </c>
      <c r="F381" s="9" t="n">
        <v>200</v>
      </c>
      <c r="G381" s="10" t="n">
        <v>3.750584</v>
      </c>
      <c r="H381" s="10" t="n">
        <v>2.769</v>
      </c>
      <c r="I381" s="10" t="n"/>
      <c r="J381" s="10" t="n"/>
      <c r="K381" s="10" t="n"/>
      <c r="L381" s="10" t="n"/>
      <c r="M381" s="8" t="inlineStr">
        <is>
          <t>SEM COTAÇÃO</t>
        </is>
      </c>
      <c r="N381" s="10" t="n"/>
      <c r="O381" s="11" t="n"/>
      <c r="P381" s="8" t="inlineStr"/>
      <c r="Q381" s="8" t="inlineStr"/>
    </row>
    <row r="382">
      <c r="A382" s="8" t="n">
        <v>542821</v>
      </c>
      <c r="B382" s="8" t="inlineStr">
        <is>
          <t>789112444</t>
        </is>
      </c>
      <c r="C382" s="8" t="inlineStr">
        <is>
          <t>VICK VAPORUB 30G POTE</t>
        </is>
      </c>
      <c r="D382" s="9" t="n">
        <v>1</v>
      </c>
      <c r="E382" s="9" t="n">
        <v>4</v>
      </c>
      <c r="F382" s="9" t="n">
        <v>4</v>
      </c>
      <c r="G382" s="10" t="n">
        <v>38.6</v>
      </c>
      <c r="H382" s="10" t="n">
        <v>28.35</v>
      </c>
      <c r="I382" s="10" t="n"/>
      <c r="J382" s="10" t="n"/>
      <c r="K382" s="10" t="n"/>
      <c r="L382" s="10" t="n"/>
      <c r="M382" s="8" t="inlineStr">
        <is>
          <t>SEM COTAÇÃO</t>
        </is>
      </c>
      <c r="N382" s="10" t="n"/>
      <c r="O382" s="11" t="n"/>
      <c r="P382" s="8" t="inlineStr"/>
      <c r="Q382" s="8" t="inlineStr"/>
    </row>
    <row r="383">
      <c r="A383" s="8" t="n">
        <v>610801</v>
      </c>
      <c r="B383" s="8" t="inlineStr">
        <is>
          <t>7500435209786</t>
        </is>
      </c>
      <c r="C383" s="8" t="inlineStr">
        <is>
          <t>VICK XAROPE XAROPE MIEL 100ML</t>
        </is>
      </c>
      <c r="D383" s="9" t="n">
        <v>1</v>
      </c>
      <c r="E383" s="9" t="n">
        <v>3</v>
      </c>
      <c r="F383" s="9" t="n">
        <v>3</v>
      </c>
      <c r="G383" s="10" t="n">
        <v>28.7366666666667</v>
      </c>
      <c r="H383" s="10" t="n">
        <v>24.38</v>
      </c>
      <c r="I383" s="10" t="n"/>
      <c r="J383" s="10" t="n">
        <v>30</v>
      </c>
      <c r="K383" s="10" t="n">
        <v>30.05</v>
      </c>
      <c r="L383" s="10" t="n">
        <v>30.0432</v>
      </c>
      <c r="M383" s="8" t="inlineStr">
        <is>
          <t>SB LOG</t>
        </is>
      </c>
      <c r="N383" s="10" t="n">
        <v>30</v>
      </c>
      <c r="O383" s="11">
        <f>N383/G383-1</f>
        <v/>
      </c>
      <c r="P383" s="13" t="inlineStr">
        <is>
          <t>ACIMA +4.4% (vs últ. compra)</t>
        </is>
      </c>
      <c r="Q383" s="8" t="inlineStr"/>
    </row>
    <row r="384">
      <c r="A384" s="8" t="n">
        <v>671911</v>
      </c>
      <c r="B384" s="8" t="inlineStr">
        <is>
          <t>7896004780818</t>
        </is>
      </c>
      <c r="C384" s="8" t="inlineStr">
        <is>
          <t>VIOFTA 0,40% SOL OFT 10ML-DEMAIS PROD</t>
        </is>
      </c>
      <c r="D384" s="9" t="n">
        <v>1</v>
      </c>
      <c r="E384" s="9" t="n">
        <v>2</v>
      </c>
      <c r="F384" s="9" t="n">
        <v>2</v>
      </c>
      <c r="G384" s="10" t="n">
        <v>53.03</v>
      </c>
      <c r="H384" s="10" t="n">
        <v>53.03</v>
      </c>
      <c r="I384" s="10" t="n"/>
      <c r="J384" s="10" t="n">
        <v>62.7</v>
      </c>
      <c r="K384" s="10" t="n"/>
      <c r="L384" s="10" t="n">
        <v>75.14</v>
      </c>
      <c r="M384" s="8" t="inlineStr">
        <is>
          <t>SB LOG</t>
        </is>
      </c>
      <c r="N384" s="10" t="n">
        <v>62.7</v>
      </c>
      <c r="O384" s="11">
        <f>N384/G384-1</f>
        <v/>
      </c>
      <c r="P384" s="13" t="inlineStr">
        <is>
          <t>ACIMA +18.2% (vs últ. compra)</t>
        </is>
      </c>
      <c r="Q384" s="8" t="inlineStr">
        <is>
          <t>estoque parcial (1 un)</t>
        </is>
      </c>
    </row>
    <row r="385">
      <c r="A385" s="8" t="n">
        <v>468541</v>
      </c>
      <c r="B385" s="8" t="inlineStr">
        <is>
          <t>7897129303579</t>
        </is>
      </c>
      <c r="C385" s="8" t="inlineStr">
        <is>
          <t>VITACID XT 1,00MG/G CREME DERM BG 25G</t>
        </is>
      </c>
      <c r="D385" s="9" t="n">
        <v>1</v>
      </c>
      <c r="E385" s="9" t="n">
        <v>1</v>
      </c>
      <c r="F385" s="9" t="n">
        <v>1</v>
      </c>
      <c r="G385" s="10" t="n">
        <v>47.28</v>
      </c>
      <c r="H385" s="10" t="n">
        <v>47.28</v>
      </c>
      <c r="I385" s="10" t="n"/>
      <c r="J385" s="10" t="n">
        <v>58.7</v>
      </c>
      <c r="K385" s="10" t="n"/>
      <c r="L385" s="10" t="n">
        <v>60.48</v>
      </c>
      <c r="M385" s="8" t="inlineStr">
        <is>
          <t>SB LOG</t>
        </is>
      </c>
      <c r="N385" s="10" t="n">
        <v>58.7</v>
      </c>
      <c r="O385" s="11">
        <f>N385/G385-1</f>
        <v/>
      </c>
      <c r="P385" s="13" t="inlineStr">
        <is>
          <t>ACIMA +24.2% (vs últ. compra)</t>
        </is>
      </c>
      <c r="Q385" s="8" t="inlineStr"/>
    </row>
    <row r="386">
      <c r="A386" s="8" t="n">
        <v>622781</v>
      </c>
      <c r="B386" s="8" t="inlineStr">
        <is>
          <t>7896226100067</t>
        </is>
      </c>
      <c r="C386" s="8" t="inlineStr">
        <is>
          <t>VITERGAN MASTER-N CX 30 COMP REV</t>
        </is>
      </c>
      <c r="D386" s="9" t="n">
        <v>1</v>
      </c>
      <c r="E386" s="9" t="n">
        <v>1</v>
      </c>
      <c r="F386" s="9" t="n">
        <v>1</v>
      </c>
      <c r="G386" s="10" t="n">
        <v>103.42</v>
      </c>
      <c r="H386" s="10" t="n">
        <v>97.12</v>
      </c>
      <c r="I386" s="10" t="n"/>
      <c r="J386" s="10" t="n">
        <v>108.4</v>
      </c>
      <c r="K386" s="10" t="n">
        <v>85.7</v>
      </c>
      <c r="L386" s="10" t="n">
        <v>116.97</v>
      </c>
      <c r="M386" s="8" t="inlineStr">
        <is>
          <t>TAPAJOS</t>
        </is>
      </c>
      <c r="N386" s="10" t="n">
        <v>85.7</v>
      </c>
      <c r="O386" s="11">
        <f>N386/G386-1</f>
        <v/>
      </c>
      <c r="P386" s="12" t="inlineStr">
        <is>
          <t>OK (≤ menor hist.)</t>
        </is>
      </c>
      <c r="Q386" s="8" t="inlineStr"/>
    </row>
    <row r="387">
      <c r="A387" s="8" t="n">
        <v>65101</v>
      </c>
      <c r="B387" s="8" t="inlineStr">
        <is>
          <t>7590002023228</t>
        </is>
      </c>
      <c r="C387" s="8" t="inlineStr">
        <is>
          <t>XAROPE 44 E 1,30+13,30MG/ML XPE FR 120ML</t>
        </is>
      </c>
      <c r="D387" s="9" t="n">
        <v>1</v>
      </c>
      <c r="E387" s="9" t="n">
        <v>4</v>
      </c>
      <c r="F387" s="9" t="n">
        <v>4</v>
      </c>
      <c r="G387" s="10" t="n">
        <v>30.73</v>
      </c>
      <c r="H387" s="10" t="n">
        <v>23.2152</v>
      </c>
      <c r="I387" s="10" t="n"/>
      <c r="J387" s="10" t="n">
        <v>30</v>
      </c>
      <c r="K387" s="10" t="n">
        <v>30.05</v>
      </c>
      <c r="L387" s="10" t="n">
        <v>30.0432</v>
      </c>
      <c r="M387" s="8" t="inlineStr">
        <is>
          <t>SB LOG</t>
        </is>
      </c>
      <c r="N387" s="10" t="n">
        <v>30</v>
      </c>
      <c r="O387" s="11">
        <f>N387/G387-1</f>
        <v/>
      </c>
      <c r="P387" s="12" t="inlineStr">
        <is>
          <t>OK (≤ últ. compra)</t>
        </is>
      </c>
      <c r="Q387" s="8" t="inlineStr"/>
    </row>
    <row r="388">
      <c r="A388" s="8" t="n">
        <v>65081</v>
      </c>
      <c r="B388" s="8" t="inlineStr">
        <is>
          <t>7500435144384</t>
        </is>
      </c>
      <c r="C388" s="8" t="inlineStr">
        <is>
          <t>XAROPE 44 E 1,30+13,30MG/ML XPE FR 240ML</t>
        </is>
      </c>
      <c r="D388" s="9" t="n">
        <v>1</v>
      </c>
      <c r="E388" s="9" t="n">
        <v>1</v>
      </c>
      <c r="F388" s="9" t="n">
        <v>1</v>
      </c>
      <c r="G388" s="10" t="n">
        <v>51.6533333333333</v>
      </c>
      <c r="H388" s="10" t="n">
        <v>45.41</v>
      </c>
      <c r="I388" s="10" t="n"/>
      <c r="J388" s="10" t="n">
        <v>54</v>
      </c>
      <c r="K388" s="10" t="n">
        <v>54</v>
      </c>
      <c r="L388" s="10" t="n">
        <v>53.9968</v>
      </c>
      <c r="M388" s="8" t="inlineStr">
        <is>
          <t>NAZARIA</t>
        </is>
      </c>
      <c r="N388" s="10" t="n">
        <v>53.9968</v>
      </c>
      <c r="O388" s="11">
        <f>N388/G388-1</f>
        <v/>
      </c>
      <c r="P388" s="13" t="inlineStr">
        <is>
          <t>ACIMA +4.5% (vs últ. compra)</t>
        </is>
      </c>
      <c r="Q388" s="8" t="inlineStr"/>
    </row>
    <row r="389">
      <c r="A389" s="8" t="n">
        <v>273361</v>
      </c>
      <c r="B389" s="8" t="inlineStr">
        <is>
          <t>7500435153072</t>
        </is>
      </c>
      <c r="C389" s="8" t="inlineStr">
        <is>
          <t>XAROPE VICK 13,3MG/ML XPE FR 120ML</t>
        </is>
      </c>
      <c r="D389" s="9" t="n">
        <v>1</v>
      </c>
      <c r="E389" s="9" t="n">
        <v>4</v>
      </c>
      <c r="F389" s="9" t="n">
        <v>4</v>
      </c>
      <c r="G389" s="10" t="n">
        <v>28.7378571428571</v>
      </c>
      <c r="H389" s="10" t="n">
        <v>24.3825</v>
      </c>
      <c r="I389" s="10" t="n"/>
      <c r="J389" s="10" t="n">
        <v>30</v>
      </c>
      <c r="K389" s="10" t="n">
        <v>30.05</v>
      </c>
      <c r="L389" s="10" t="n">
        <v>30.0432</v>
      </c>
      <c r="M389" s="8" t="inlineStr">
        <is>
          <t>SB LOG</t>
        </is>
      </c>
      <c r="N389" s="10" t="n">
        <v>30</v>
      </c>
      <c r="O389" s="11">
        <f>N389/G389-1</f>
        <v/>
      </c>
      <c r="P389" s="13" t="inlineStr">
        <is>
          <t>ACIMA +4.4% (vs últ. compra)</t>
        </is>
      </c>
      <c r="Q389" s="8" t="inlineStr"/>
    </row>
    <row r="390">
      <c r="A390" s="8" t="n">
        <v>326621</v>
      </c>
      <c r="B390" s="8" t="inlineStr">
        <is>
          <t>7891317425869</t>
        </is>
      </c>
      <c r="C390" s="8" t="inlineStr">
        <is>
          <t>ZART 50MG CX 30 COMP REV</t>
        </is>
      </c>
      <c r="D390" s="9" t="n">
        <v>1</v>
      </c>
      <c r="E390" s="9" t="n">
        <v>9</v>
      </c>
      <c r="F390" s="9" t="n">
        <v>9</v>
      </c>
      <c r="G390" s="10" t="n">
        <v>4.92444444444444</v>
      </c>
      <c r="H390" s="10" t="n">
        <v>3.8667</v>
      </c>
      <c r="I390" s="10" t="n">
        <v>4.93</v>
      </c>
      <c r="J390" s="10" t="n"/>
      <c r="K390" s="10" t="n">
        <v>10.63</v>
      </c>
      <c r="L390" s="10" t="n">
        <v>11.31</v>
      </c>
      <c r="M390" s="8" t="inlineStr">
        <is>
          <t>EPAN</t>
        </is>
      </c>
      <c r="N390" s="10" t="n">
        <v>4.93</v>
      </c>
      <c r="O390" s="11">
        <f>N390/G390-1</f>
        <v/>
      </c>
      <c r="P390" s="13" t="inlineStr">
        <is>
          <t>ACIMA +0.1% (vs últ. compra)</t>
        </is>
      </c>
      <c r="Q390" s="8" t="inlineStr">
        <is>
          <t>sem estoque na Nazária</t>
        </is>
      </c>
    </row>
    <row r="391">
      <c r="A391" s="8" t="n">
        <v>287141</v>
      </c>
      <c r="B391" s="8" t="inlineStr">
        <is>
          <t>7891317451417</t>
        </is>
      </c>
      <c r="C391" s="8" t="inlineStr">
        <is>
          <t>ZART H H 50+12,5MG CX 30 COMP REV</t>
        </is>
      </c>
      <c r="D391" s="9" t="n">
        <v>1</v>
      </c>
      <c r="E391" s="9" t="n">
        <v>1</v>
      </c>
      <c r="F391" s="9" t="n">
        <v>1</v>
      </c>
      <c r="G391" s="10" t="n">
        <v>41.61</v>
      </c>
      <c r="H391" s="10" t="n">
        <v>36.88</v>
      </c>
      <c r="I391" s="10" t="n">
        <v>41.61</v>
      </c>
      <c r="J391" s="10" t="n">
        <v>41.8</v>
      </c>
      <c r="K391" s="10" t="n"/>
      <c r="L391" s="10" t="n">
        <v>43.05</v>
      </c>
      <c r="M391" s="8" t="inlineStr">
        <is>
          <t>EPAN</t>
        </is>
      </c>
      <c r="N391" s="10" t="n">
        <v>41.61</v>
      </c>
      <c r="O391" s="11">
        <f>N391/G391-1</f>
        <v/>
      </c>
      <c r="P391" s="12" t="inlineStr">
        <is>
          <t>OK (≤ últ. compra)</t>
        </is>
      </c>
      <c r="Q391" s="8" t="inlineStr"/>
    </row>
    <row r="392">
      <c r="A392" s="8" t="n">
        <v>429501</v>
      </c>
      <c r="B392" s="8" t="inlineStr">
        <is>
          <t>7896422504652</t>
        </is>
      </c>
      <c r="C392" s="8" t="inlineStr">
        <is>
          <t>ZINPASS EZE 40+10MG CX 30 COMP REV</t>
        </is>
      </c>
      <c r="D392" s="9" t="n">
        <v>1</v>
      </c>
      <c r="E392" s="9" t="n">
        <v>1</v>
      </c>
      <c r="F392" s="9" t="n">
        <v>1</v>
      </c>
      <c r="G392" s="10" t="n">
        <v>140.09</v>
      </c>
      <c r="H392" s="10" t="n">
        <v>133.3</v>
      </c>
      <c r="I392" s="10" t="n">
        <v>140.08</v>
      </c>
      <c r="J392" s="10" t="n"/>
      <c r="K392" s="10" t="n"/>
      <c r="L392" s="10" t="n">
        <v>136.224</v>
      </c>
      <c r="M392" s="8" t="inlineStr">
        <is>
          <t>NAZARIA</t>
        </is>
      </c>
      <c r="N392" s="10" t="n">
        <v>136.224</v>
      </c>
      <c r="O392" s="11">
        <f>N392/G392-1</f>
        <v/>
      </c>
      <c r="P392" s="12" t="inlineStr">
        <is>
          <t>OK (≤ últ. compra)</t>
        </is>
      </c>
      <c r="Q392" s="8" t="inlineStr"/>
    </row>
    <row r="393">
      <c r="A393" s="8" t="n">
        <v>261481</v>
      </c>
      <c r="B393" s="8" t="inlineStr">
        <is>
          <t>7897316805442</t>
        </is>
      </c>
      <c r="C393" s="8" t="inlineStr">
        <is>
          <t>ZYPRED 3+10MG/ML SUS OFT FR GOT 6ML</t>
        </is>
      </c>
      <c r="D393" s="9" t="n">
        <v>1</v>
      </c>
      <c r="E393" s="9" t="n">
        <v>3</v>
      </c>
      <c r="F393" s="9" t="n">
        <v>3</v>
      </c>
      <c r="G393" s="10" t="n">
        <v>67.565</v>
      </c>
      <c r="H393" s="10" t="n">
        <v>61.93</v>
      </c>
      <c r="I393" s="10" t="n"/>
      <c r="J393" s="10" t="n">
        <v>70.8</v>
      </c>
      <c r="K393" s="10" t="n">
        <v>68.62</v>
      </c>
      <c r="L393" s="10" t="n">
        <v>67.14160000000001</v>
      </c>
      <c r="M393" s="8" t="inlineStr">
        <is>
          <t>TAPAJOS</t>
        </is>
      </c>
      <c r="N393" s="10" t="n">
        <v>68.62</v>
      </c>
      <c r="O393" s="11">
        <f>N393/G393-1</f>
        <v/>
      </c>
      <c r="P393" s="13" t="inlineStr">
        <is>
          <t>ACIMA +1.6% (vs últ. compra)</t>
        </is>
      </c>
      <c r="Q393" s="8" t="inlineStr">
        <is>
          <t>sem estoque na Nazária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46" customWidth="1" min="3" max="3"/>
    <col width="7" customWidth="1" min="4" max="4"/>
    <col width="7" customWidth="1" min="5" max="5"/>
    <col width="9" customWidth="1" min="6" max="6"/>
    <col width="11" customWidth="1" min="7" max="7"/>
    <col width="40" customWidth="1" min="8" max="8"/>
  </cols>
  <sheetData>
    <row r="1" ht="28" customHeight="1">
      <c r="A1" s="7" t="inlineStr">
        <is>
          <t>Cód. interno</t>
        </is>
      </c>
      <c r="B1" s="7" t="inlineStr">
        <is>
          <t>EAN princ.</t>
        </is>
      </c>
      <c r="C1" s="7" t="inlineStr">
        <is>
          <t>Produto</t>
        </is>
      </c>
      <c r="D1" s="7" t="inlineStr">
        <is>
          <t>Un/Cx</t>
        </is>
      </c>
      <c r="E1" s="7" t="inlineStr">
        <is>
          <t>Caixas</t>
        </is>
      </c>
      <c r="F1" s="7" t="inlineStr">
        <is>
          <t>Un. compradas</t>
        </is>
      </c>
      <c r="G1" s="7" t="inlineStr">
        <is>
          <t>Menor hist. (un)</t>
        </is>
      </c>
      <c r="H1" s="7" t="inlineStr">
        <is>
          <t>Motivo</t>
        </is>
      </c>
    </row>
    <row r="2">
      <c r="A2" s="8" t="n">
        <v>71981</v>
      </c>
      <c r="B2" s="8" t="inlineStr">
        <is>
          <t>7896676414639</t>
        </is>
      </c>
      <c r="C2" s="8" t="inlineStr">
        <is>
          <t>ANA-FLEX 35+300+50MG CX 200 COMP</t>
        </is>
      </c>
      <c r="D2" s="9" t="n">
        <v>20</v>
      </c>
      <c r="E2" s="9" t="n">
        <v>1</v>
      </c>
      <c r="F2" s="9" t="n">
        <v>20</v>
      </c>
      <c r="G2" s="10" t="n">
        <v>4.9505</v>
      </c>
      <c r="H2" s="8" t="inlineStr">
        <is>
          <t>nenhum distribuidor cotou</t>
        </is>
      </c>
    </row>
    <row r="3">
      <c r="A3" s="8" t="n">
        <v>131861</v>
      </c>
      <c r="B3" s="8" t="inlineStr">
        <is>
          <t>7896094200227</t>
        </is>
      </c>
      <c r="C3" s="8" t="inlineStr">
        <is>
          <t>ANSITEC 5MG CX 20 COMP</t>
        </is>
      </c>
      <c r="D3" s="9" t="n">
        <v>1</v>
      </c>
      <c r="E3" s="9" t="n">
        <v>1</v>
      </c>
      <c r="F3" s="9" t="n">
        <v>1</v>
      </c>
      <c r="G3" s="10" t="n">
        <v>27.07</v>
      </c>
      <c r="H3" s="8" t="inlineStr">
        <is>
          <t>nenhum distribuidor cotou</t>
        </is>
      </c>
    </row>
    <row r="4">
      <c r="A4" s="8" t="n">
        <v>624171</v>
      </c>
      <c r="B4" s="8" t="inlineStr">
        <is>
          <t>7899706195089</t>
        </is>
      </c>
      <c r="C4" s="8" t="inlineStr">
        <is>
          <t>ANTHELIOS LRP AIRLIC FL FPS50 S/COR 40ML</t>
        </is>
      </c>
      <c r="D4" s="9" t="n">
        <v>1</v>
      </c>
      <c r="E4" s="9" t="n">
        <v>1</v>
      </c>
      <c r="F4" s="9" t="n">
        <v>1</v>
      </c>
      <c r="G4" s="10" t="n">
        <v>88.16</v>
      </c>
      <c r="H4" s="8" t="inlineStr">
        <is>
          <t>nenhum distribuidor cotou</t>
        </is>
      </c>
    </row>
    <row r="5">
      <c r="A5" s="8" t="n">
        <v>618051</v>
      </c>
      <c r="B5" s="8" t="inlineStr">
        <is>
          <t>7908615030098</t>
        </is>
      </c>
      <c r="C5" s="8" t="inlineStr">
        <is>
          <t>ANTHELIOS LRP AIRLIC FPS70 2.0 40G+NECESSARIE</t>
        </is>
      </c>
      <c r="D5" s="9" t="n">
        <v>1</v>
      </c>
      <c r="E5" s="9" t="n">
        <v>1</v>
      </c>
      <c r="F5" s="9" t="n">
        <v>1</v>
      </c>
      <c r="G5" s="10" t="n">
        <v>75.47499999999999</v>
      </c>
      <c r="H5" s="8" t="inlineStr">
        <is>
          <t>nenhum distribuidor cotou</t>
        </is>
      </c>
    </row>
    <row r="6">
      <c r="A6" s="8" t="n">
        <v>648861</v>
      </c>
      <c r="B6" s="8" t="inlineStr">
        <is>
          <t>7908615038384</t>
        </is>
      </c>
      <c r="C6" s="8" t="inlineStr">
        <is>
          <t>ANTHELIOS LRP AIRLIC+FLUIDO FPS50+EFFACL CONC 50G</t>
        </is>
      </c>
      <c r="D6" s="9" t="n">
        <v>1</v>
      </c>
      <c r="E6" s="9" t="n">
        <v>1</v>
      </c>
      <c r="F6" s="9" t="n">
        <v>1</v>
      </c>
      <c r="G6" s="10" t="n">
        <v>112.82</v>
      </c>
      <c r="H6" s="8" t="inlineStr">
        <is>
          <t>sem estoque na Nazária</t>
        </is>
      </c>
    </row>
    <row r="7">
      <c r="A7" s="8" t="n">
        <v>666011</v>
      </c>
      <c r="B7" s="8" t="inlineStr">
        <is>
          <t>7898639690586</t>
        </is>
      </c>
      <c r="C7" s="8" t="inlineStr">
        <is>
          <t>APAR PRES DIG HOME GP200 G-TECH-DEMAIS PROD</t>
        </is>
      </c>
      <c r="D7" s="9" t="n">
        <v>1</v>
      </c>
      <c r="E7" s="9" t="n">
        <v>2</v>
      </c>
      <c r="F7" s="9" t="n">
        <v>2</v>
      </c>
      <c r="G7" s="10" t="n">
        <v>73.03830000000001</v>
      </c>
      <c r="H7" s="8" t="inlineStr">
        <is>
          <t>nenhum distribuidor cotou</t>
        </is>
      </c>
    </row>
    <row r="8">
      <c r="A8" s="8" t="n">
        <v>619611</v>
      </c>
      <c r="B8" s="8" t="inlineStr">
        <is>
          <t>7898636190720</t>
        </is>
      </c>
      <c r="C8" s="8" t="inlineStr">
        <is>
          <t>ASEPXIA PO COMPA MARFIM 10G</t>
        </is>
      </c>
      <c r="D8" s="9" t="n">
        <v>1</v>
      </c>
      <c r="E8" s="9" t="n">
        <v>1</v>
      </c>
      <c r="F8" s="9" t="n">
        <v>1</v>
      </c>
      <c r="G8" s="10" t="n">
        <v>36.43</v>
      </c>
      <c r="H8" s="8" t="inlineStr">
        <is>
          <t>nenhum distribuidor cotou</t>
        </is>
      </c>
    </row>
    <row r="9">
      <c r="A9" s="8" t="n">
        <v>13921</v>
      </c>
      <c r="B9" s="8" t="inlineStr">
        <is>
          <t>7891106915175</t>
        </is>
      </c>
      <c r="C9" s="8" t="inlineStr">
        <is>
          <t>ASPIRINA 500MG CX 100 COMP ACLAR</t>
        </is>
      </c>
      <c r="D9" s="9" t="n">
        <v>10</v>
      </c>
      <c r="E9" s="9" t="n">
        <v>1</v>
      </c>
      <c r="F9" s="9" t="n">
        <v>10</v>
      </c>
      <c r="G9" s="10" t="n">
        <v>7.2447</v>
      </c>
      <c r="H9" s="8" t="inlineStr">
        <is>
          <t>nenhum distribuidor cotou</t>
        </is>
      </c>
    </row>
    <row r="10">
      <c r="A10" s="8" t="n">
        <v>15761</v>
      </c>
      <c r="B10" s="8" t="inlineStr">
        <is>
          <t>5702191025637</t>
        </is>
      </c>
      <c r="C10" s="8" t="inlineStr">
        <is>
          <t>AZELAN 150 MG/G GEL CT BG AL X 30 G</t>
        </is>
      </c>
      <c r="D10" s="9" t="n">
        <v>1</v>
      </c>
      <c r="E10" s="9" t="n">
        <v>3</v>
      </c>
      <c r="F10" s="9" t="n">
        <v>3</v>
      </c>
      <c r="G10" s="10" t="n">
        <v>63.655</v>
      </c>
      <c r="H10" s="8" t="inlineStr">
        <is>
          <t>sem estoque no ePan; sem estoque na Nazária</t>
        </is>
      </c>
    </row>
    <row r="11">
      <c r="A11" s="8" t="n">
        <v>114701</v>
      </c>
      <c r="B11" s="8" t="inlineStr">
        <is>
          <t>7891010974923</t>
        </is>
      </c>
      <c r="C11" s="8" t="inlineStr">
        <is>
          <t>BENALET 5+50+10MG PASTILHA CARTELA MEL/LIMAO C/ 4UN</t>
        </is>
      </c>
      <c r="D11" s="9" t="n">
        <v>13</v>
      </c>
      <c r="E11" s="9" t="n">
        <v>1</v>
      </c>
      <c r="F11" s="9" t="n">
        <v>13</v>
      </c>
      <c r="G11" s="10" t="n">
        <v>10.1792</v>
      </c>
      <c r="H11" s="8" t="inlineStr">
        <is>
          <t>nenhum distribuidor cotou</t>
        </is>
      </c>
    </row>
    <row r="12">
      <c r="A12" s="8" t="n">
        <v>497121</v>
      </c>
      <c r="B12" s="8" t="inlineStr">
        <is>
          <t>7891268402025</t>
        </is>
      </c>
      <c r="C12" s="8" t="inlineStr">
        <is>
          <t>BENALET 5+50+10MG PASTILHA SB MEL E LIMAO CX C/ 12UN</t>
        </is>
      </c>
      <c r="D12" s="9" t="n">
        <v>1</v>
      </c>
      <c r="E12" s="9" t="n">
        <v>2</v>
      </c>
      <c r="F12" s="9" t="n">
        <v>2</v>
      </c>
      <c r="G12" s="10" t="n">
        <v>9.516666666666669</v>
      </c>
      <c r="H12" s="8" t="inlineStr">
        <is>
          <t>nenhum distribuidor cotou</t>
        </is>
      </c>
    </row>
    <row r="13">
      <c r="A13" s="8" t="n">
        <v>114681</v>
      </c>
      <c r="B13" s="8" t="inlineStr">
        <is>
          <t>7891010974930</t>
        </is>
      </c>
      <c r="C13" s="8" t="inlineStr">
        <is>
          <t>BENALET 5+50+10MG PASTILHA SB MENTA CX C/ 12UN</t>
        </is>
      </c>
      <c r="D13" s="9" t="n">
        <v>1</v>
      </c>
      <c r="E13" s="9" t="n">
        <v>1</v>
      </c>
      <c r="F13" s="9" t="n">
        <v>1</v>
      </c>
      <c r="G13" s="10" t="n">
        <v>24.88</v>
      </c>
      <c r="H13" s="8" t="inlineStr">
        <is>
          <t>nenhum distribuidor cotou</t>
        </is>
      </c>
    </row>
    <row r="14">
      <c r="A14" s="8" t="n">
        <v>666701</v>
      </c>
      <c r="B14" s="8" t="inlineStr">
        <is>
          <t>7891106916288</t>
        </is>
      </c>
      <c r="C14" s="8" t="inlineStr">
        <is>
          <t>BEPANTOL LENCOS UMED BIO 48UN-DEMAIS PROD</t>
        </is>
      </c>
      <c r="D14" s="9" t="n">
        <v>1</v>
      </c>
      <c r="E14" s="9" t="n">
        <v>1</v>
      </c>
      <c r="F14" s="9" t="n">
        <v>1</v>
      </c>
      <c r="G14" s="10" t="n">
        <v>13.89</v>
      </c>
      <c r="H14" s="8" t="inlineStr">
        <is>
          <t>nenhum distribuidor cotou</t>
        </is>
      </c>
    </row>
    <row r="15">
      <c r="A15" s="8" t="n">
        <v>603911</v>
      </c>
      <c r="B15" s="8" t="inlineStr">
        <is>
          <t>7896004780061</t>
        </is>
      </c>
      <c r="C15" s="8" t="inlineStr">
        <is>
          <t>CALADRYL POS SOL LOC 100ML</t>
        </is>
      </c>
      <c r="D15" s="9" t="n">
        <v>1</v>
      </c>
      <c r="E15" s="9" t="n">
        <v>1</v>
      </c>
      <c r="F15" s="9" t="n">
        <v>1</v>
      </c>
      <c r="G15" s="10" t="n">
        <v>16.4217</v>
      </c>
      <c r="H15" s="8" t="inlineStr">
        <is>
          <t>sem estoque no ePan; sem estoque na Nazária</t>
        </is>
      </c>
    </row>
    <row r="16">
      <c r="A16" s="8" t="n">
        <v>631111</v>
      </c>
      <c r="B16" s="8" t="inlineStr">
        <is>
          <t>7899706172707</t>
        </is>
      </c>
      <c r="C16" s="8" t="inlineStr">
        <is>
          <t>CERAVE GEL LIMPEZA 60G</t>
        </is>
      </c>
      <c r="D16" s="9" t="n">
        <v>1</v>
      </c>
      <c r="E16" s="9" t="n">
        <v>1</v>
      </c>
      <c r="F16" s="9" t="n">
        <v>1</v>
      </c>
      <c r="G16" s="10" t="n">
        <v>36.69</v>
      </c>
      <c r="H16" s="8" t="inlineStr">
        <is>
          <t>sem estoque na Nazária</t>
        </is>
      </c>
    </row>
    <row r="17">
      <c r="A17" s="8" t="n">
        <v>628631</v>
      </c>
      <c r="B17" s="8" t="inlineStr">
        <is>
          <t>7898636191802</t>
        </is>
      </c>
      <c r="C17" s="8" t="inlineStr">
        <is>
          <t>CICATRICURE AGUA MICELAR 380ML</t>
        </is>
      </c>
      <c r="D17" s="9" t="n">
        <v>1</v>
      </c>
      <c r="E17" s="9" t="n">
        <v>1</v>
      </c>
      <c r="F17" s="9" t="n">
        <v>1</v>
      </c>
      <c r="G17" s="10" t="n">
        <v>28.13</v>
      </c>
      <c r="H17" s="8" t="inlineStr">
        <is>
          <t>sem estoque na Nazária</t>
        </is>
      </c>
    </row>
    <row r="18">
      <c r="A18" s="8" t="n">
        <v>515861</v>
      </c>
      <c r="B18" s="8" t="inlineStr">
        <is>
          <t>7896676438062</t>
        </is>
      </c>
      <c r="C18" s="8" t="inlineStr">
        <is>
          <t>CODEIN 30MG CX 12 COMP</t>
        </is>
      </c>
      <c r="D18" s="9" t="n">
        <v>1</v>
      </c>
      <c r="E18" s="9" t="n">
        <v>1</v>
      </c>
      <c r="F18" s="9" t="n">
        <v>1</v>
      </c>
      <c r="G18" s="10" t="n">
        <v>16.785</v>
      </c>
      <c r="H18" s="8" t="inlineStr">
        <is>
          <t>nenhum distribuidor cotou</t>
        </is>
      </c>
    </row>
    <row r="19">
      <c r="A19" s="8" t="n">
        <v>666021</v>
      </c>
      <c r="B19" s="8" t="inlineStr">
        <is>
          <t>7891317033149</t>
        </is>
      </c>
      <c r="C19" s="8" t="inlineStr">
        <is>
          <t>COLTRAX 4MG CX 20 COMP</t>
        </is>
      </c>
      <c r="D19" s="9" t="n">
        <v>1</v>
      </c>
      <c r="E19" s="9" t="n">
        <v>1</v>
      </c>
      <c r="F19" s="9" t="n">
        <v>1</v>
      </c>
      <c r="G19" s="10" t="n">
        <v>50.695</v>
      </c>
      <c r="H19" s="8" t="inlineStr">
        <is>
          <t>sem estoque no ePan</t>
        </is>
      </c>
    </row>
    <row r="20">
      <c r="A20" s="8" t="n">
        <v>550761</v>
      </c>
      <c r="B20" s="8" t="inlineStr">
        <is>
          <t>7896015592707</t>
        </is>
      </c>
      <c r="C20" s="8" t="inlineStr">
        <is>
          <t>COREGA PO UNITARIO 22G - MENTA (FRAÇÃO)</t>
        </is>
      </c>
      <c r="D20" s="9" t="n">
        <v>3</v>
      </c>
      <c r="E20" s="9" t="n">
        <v>1</v>
      </c>
      <c r="F20" s="9" t="n">
        <v>3</v>
      </c>
      <c r="G20" s="10" t="n">
        <v>6.52</v>
      </c>
      <c r="H20" s="8" t="inlineStr">
        <is>
          <t>nenhum distribuidor cotou</t>
        </is>
      </c>
    </row>
    <row r="21">
      <c r="A21" s="8" t="n">
        <v>413841</v>
      </c>
      <c r="B21" s="8" t="inlineStr">
        <is>
          <t>7896070600249</t>
        </is>
      </c>
      <c r="C21" s="8" t="inlineStr">
        <is>
          <t>CREMEFENERGAN 20MG/G CREM DERM BG 30G</t>
        </is>
      </c>
      <c r="D21" s="9" t="n">
        <v>1</v>
      </c>
      <c r="E21" s="9" t="n">
        <v>1</v>
      </c>
      <c r="F21" s="9" t="n">
        <v>1</v>
      </c>
      <c r="G21" s="10" t="n">
        <v>19.0733</v>
      </c>
      <c r="H21" s="8" t="inlineStr">
        <is>
          <t>nenhum distribuidor cotou</t>
        </is>
      </c>
    </row>
    <row r="22">
      <c r="A22" s="8" t="n">
        <v>605281</v>
      </c>
      <c r="B22" s="8" t="inlineStr">
        <is>
          <t>7893454714783</t>
        </is>
      </c>
      <c r="C22" s="8" t="inlineStr">
        <is>
          <t>CULTURELLE PROBIOTICO CX 30 SACHES</t>
        </is>
      </c>
      <c r="D22" s="9" t="n">
        <v>1</v>
      </c>
      <c r="E22" s="9" t="n">
        <v>1</v>
      </c>
      <c r="F22" s="9" t="n">
        <v>1</v>
      </c>
      <c r="G22" s="10" t="n">
        <v>181.57</v>
      </c>
      <c r="H22" s="8" t="inlineStr">
        <is>
          <t>nenhum distribuidor cotou</t>
        </is>
      </c>
    </row>
    <row r="23">
      <c r="A23" s="8" t="n">
        <v>626861</v>
      </c>
      <c r="B23" s="8" t="inlineStr">
        <is>
          <t>7893454714776</t>
        </is>
      </c>
      <c r="C23" s="8" t="inlineStr">
        <is>
          <t>CULTURELLE PROBIOTICO CX 6 SACHES</t>
        </is>
      </c>
      <c r="D23" s="9" t="n">
        <v>1</v>
      </c>
      <c r="E23" s="9" t="n">
        <v>1</v>
      </c>
      <c r="F23" s="9" t="n">
        <v>1</v>
      </c>
      <c r="G23" s="10" t="n">
        <v>42.06</v>
      </c>
      <c r="H23" s="8" t="inlineStr">
        <is>
          <t>nenhum distribuidor cotou</t>
        </is>
      </c>
    </row>
    <row r="24">
      <c r="A24" s="8" t="n">
        <v>651401</v>
      </c>
      <c r="B24" s="8" t="inlineStr">
        <is>
          <t>7896676440508</t>
        </is>
      </c>
      <c r="C24" s="8" t="inlineStr">
        <is>
          <t>CUTISANOL BABY CREME 45G-DEMAIS PROD</t>
        </is>
      </c>
      <c r="D24" s="9" t="n">
        <v>1</v>
      </c>
      <c r="E24" s="9" t="n">
        <v>1</v>
      </c>
      <c r="F24" s="9" t="n">
        <v>1</v>
      </c>
      <c r="G24" s="10" t="n">
        <v>11.58</v>
      </c>
      <c r="H24" s="8" t="inlineStr">
        <is>
          <t>sem estoque na Nazária</t>
        </is>
      </c>
    </row>
    <row r="25">
      <c r="A25" s="8" t="n">
        <v>605211</v>
      </c>
      <c r="B25" s="8" t="inlineStr">
        <is>
          <t>7896316101424</t>
        </is>
      </c>
      <c r="C25" s="8" t="inlineStr">
        <is>
          <t>CYCLOFEMINA 25MG+5MG/0,5ML SUS INJ 1 AMP X 0,5ML</t>
        </is>
      </c>
      <c r="D25" s="9" t="n">
        <v>1</v>
      </c>
      <c r="E25" s="9" t="n">
        <v>5</v>
      </c>
      <c r="F25" s="9" t="n">
        <v>5</v>
      </c>
      <c r="G25" s="10" t="n">
        <v>27.9721</v>
      </c>
      <c r="H25" s="8" t="inlineStr">
        <is>
          <t>sem estoque no ePan; sem estoque na Nazária</t>
        </is>
      </c>
    </row>
    <row r="26">
      <c r="A26" s="8" t="n">
        <v>347821</v>
      </c>
      <c r="B26" s="8" t="inlineStr">
        <is>
          <t>7896212479825</t>
        </is>
      </c>
      <c r="C26" s="8" t="inlineStr">
        <is>
          <t>DAKTARIN GEL ORAL 20MG/G GEL ORAL BG 40G</t>
        </is>
      </c>
      <c r="D26" s="9" t="n">
        <v>1</v>
      </c>
      <c r="E26" s="9" t="n">
        <v>1</v>
      </c>
      <c r="F26" s="9" t="n">
        <v>1</v>
      </c>
      <c r="G26" s="10" t="n">
        <v>35.785</v>
      </c>
      <c r="H26" s="8" t="inlineStr">
        <is>
          <t>nenhum distribuidor cotou</t>
        </is>
      </c>
    </row>
    <row r="27">
      <c r="A27" s="8" t="n">
        <v>359561</v>
      </c>
      <c r="B27" s="8" t="inlineStr">
        <is>
          <t>7891106006132</t>
        </is>
      </c>
      <c r="C27" s="8" t="inlineStr">
        <is>
          <t>DESCONTINUADO - PROTOVIT PLUS SOL ORAL FR GTS 20ML</t>
        </is>
      </c>
      <c r="D27" s="9" t="n">
        <v>1</v>
      </c>
      <c r="E27" s="9" t="n">
        <v>2</v>
      </c>
      <c r="F27" s="9" t="n">
        <v>2</v>
      </c>
      <c r="G27" s="10" t="n">
        <v>12.844375</v>
      </c>
      <c r="H27" s="8" t="inlineStr">
        <is>
          <t>nenhum distribuidor cotou</t>
        </is>
      </c>
    </row>
    <row r="28">
      <c r="A28" s="8" t="n">
        <v>663061</v>
      </c>
      <c r="B28" s="8" t="inlineStr">
        <is>
          <t>7891150096486</t>
        </is>
      </c>
      <c r="C28" s="8" t="inlineStr">
        <is>
          <t>DOVE GEL LIMP FACIAL PL OLEOS E ACNEIC 150ML   UNIL %DN:17.00</t>
        </is>
      </c>
      <c r="D28" s="9" t="n">
        <v>1</v>
      </c>
      <c r="E28" s="9" t="n">
        <v>2</v>
      </c>
      <c r="F28" s="9" t="n">
        <v>2</v>
      </c>
      <c r="G28" s="10" t="n">
        <v>24.2358</v>
      </c>
      <c r="H28" s="8" t="inlineStr">
        <is>
          <t>nenhum distribuidor cotou</t>
        </is>
      </c>
    </row>
    <row r="29">
      <c r="A29" s="8" t="n">
        <v>663071</v>
      </c>
      <c r="B29" s="8" t="inlineStr">
        <is>
          <t>7891150096509</t>
        </is>
      </c>
      <c r="C29" s="8" t="inlineStr">
        <is>
          <t>DOVE GEL LIMP FACIAL PL SENS E OLEOS 150ML   UNIL %DN:17.00</t>
        </is>
      </c>
      <c r="D29" s="9" t="n">
        <v>1</v>
      </c>
      <c r="E29" s="9" t="n">
        <v>5</v>
      </c>
      <c r="F29" s="9" t="n">
        <v>5</v>
      </c>
      <c r="G29" s="10" t="n">
        <v>24.2358</v>
      </c>
      <c r="H29" s="8" t="inlineStr">
        <is>
          <t>nenhum distribuidor cotou</t>
        </is>
      </c>
    </row>
    <row r="30">
      <c r="A30" s="8" t="n">
        <v>645091</v>
      </c>
      <c r="B30" s="8" t="inlineStr">
        <is>
          <t>7891150095847</t>
        </is>
      </c>
      <c r="C30" s="8" t="inlineStr">
        <is>
          <t>DOVE SER CORP PRO PANTENOL 180ML   UNIL %DN:7.00</t>
        </is>
      </c>
      <c r="D30" s="9" t="n">
        <v>1</v>
      </c>
      <c r="E30" s="9" t="n">
        <v>2</v>
      </c>
      <c r="F30" s="9" t="n">
        <v>2</v>
      </c>
      <c r="G30" s="10" t="n">
        <v>22.39</v>
      </c>
      <c r="H30" s="8" t="inlineStr">
        <is>
          <t>sem estoque no ePan; sem estoque na Nazária</t>
        </is>
      </c>
    </row>
    <row r="31">
      <c r="A31" s="8" t="n">
        <v>666711</v>
      </c>
      <c r="B31" s="8" t="inlineStr">
        <is>
          <t>7891317042202</t>
        </is>
      </c>
      <c r="C31" s="8" t="inlineStr">
        <is>
          <t>DOZI 1000MCG C/30 COMP SUB-OUTROS</t>
        </is>
      </c>
      <c r="D31" s="9" t="n">
        <v>1</v>
      </c>
      <c r="E31" s="9" t="n">
        <v>1</v>
      </c>
      <c r="F31" s="9" t="n">
        <v>1</v>
      </c>
      <c r="G31" s="10" t="n">
        <v>44.048</v>
      </c>
      <c r="H31" s="8" t="inlineStr">
        <is>
          <t>sem estoque no ePan</t>
        </is>
      </c>
    </row>
    <row r="32">
      <c r="A32" s="8" t="n">
        <v>669071</v>
      </c>
      <c r="B32" s="8" t="inlineStr"/>
      <c r="C32" s="8" t="inlineStr">
        <is>
          <t>DRAMIN CAPS GEL (CARTELADO) PV</t>
        </is>
      </c>
      <c r="D32" s="9" t="n">
        <v>1</v>
      </c>
      <c r="E32" s="9" t="n">
        <v>1</v>
      </c>
      <c r="F32" s="9" t="n">
        <v>1</v>
      </c>
      <c r="G32" s="10" t="n"/>
      <c r="H32" s="8" t="inlineStr">
        <is>
          <t>nenhum distribuidor cotou</t>
        </is>
      </c>
    </row>
    <row r="33">
      <c r="A33" s="8" t="n">
        <v>655311</v>
      </c>
      <c r="B33" s="8" t="inlineStr">
        <is>
          <t>7891317027179</t>
        </is>
      </c>
      <c r="C33" s="8" t="inlineStr">
        <is>
          <t>DUALGI 200MG+500MG 12CPR</t>
        </is>
      </c>
      <c r="D33" s="9" t="n">
        <v>1</v>
      </c>
      <c r="E33" s="9" t="n">
        <v>2</v>
      </c>
      <c r="F33" s="9" t="n">
        <v>2</v>
      </c>
      <c r="G33" s="10" t="n">
        <v>23.93</v>
      </c>
      <c r="H33" s="8" t="inlineStr">
        <is>
          <t>sem estoque no ePan; sem estoque na Nazária</t>
        </is>
      </c>
    </row>
    <row r="34">
      <c r="A34" s="8" t="n">
        <v>658021</v>
      </c>
      <c r="B34" s="8" t="inlineStr">
        <is>
          <t>4005900995520</t>
        </is>
      </c>
      <c r="C34" s="8" t="inlineStr">
        <is>
          <t>EUCERIN HYDRO FLUID SUN FPS60 50ML</t>
        </is>
      </c>
      <c r="D34" s="9" t="n">
        <v>1</v>
      </c>
      <c r="E34" s="9" t="n">
        <v>1</v>
      </c>
      <c r="F34" s="9" t="n">
        <v>1</v>
      </c>
      <c r="G34" s="10" t="n">
        <v>75.47</v>
      </c>
      <c r="H34" s="8" t="inlineStr">
        <is>
          <t>sem estoque na Nazária</t>
        </is>
      </c>
    </row>
    <row r="35">
      <c r="A35" s="8" t="n">
        <v>626071</v>
      </c>
      <c r="B35" s="8" t="inlineStr">
        <is>
          <t>7896023756849</t>
        </is>
      </c>
      <c r="C35" s="8" t="inlineStr">
        <is>
          <t>FIGATIL 10ML FLACONETE</t>
        </is>
      </c>
      <c r="D35" s="9" t="n">
        <v>48</v>
      </c>
      <c r="E35" s="9" t="n">
        <v>1</v>
      </c>
      <c r="F35" s="9" t="n">
        <v>48</v>
      </c>
      <c r="G35" s="10" t="n">
        <v>1.1388</v>
      </c>
      <c r="H35" s="8" t="inlineStr">
        <is>
          <t>nenhum distribuidor cotou</t>
        </is>
      </c>
    </row>
    <row r="36">
      <c r="A36" s="8" t="n">
        <v>652451</v>
      </c>
      <c r="B36" s="8" t="inlineStr"/>
      <c r="C36" s="8" t="inlineStr">
        <is>
          <t>FLOGORAL CARTELA 4 PAST SB LARANJA</t>
        </is>
      </c>
      <c r="D36" s="9" t="n">
        <v>3</v>
      </c>
      <c r="E36" s="9" t="n">
        <v>3</v>
      </c>
      <c r="F36" s="9" t="n">
        <v>9</v>
      </c>
      <c r="G36" s="10" t="n"/>
      <c r="H36" s="8" t="inlineStr">
        <is>
          <t>nenhum distribuidor cotou</t>
        </is>
      </c>
    </row>
    <row r="37">
      <c r="A37" s="8" t="n">
        <v>638781</v>
      </c>
      <c r="B37" s="8" t="inlineStr">
        <is>
          <t>040141785435</t>
        </is>
      </c>
      <c r="C37" s="8" t="inlineStr">
        <is>
          <t>FORTMAGRI 1500MG 60 CPS (BERBERINA+FENO+MOROSIL+CROMO)</t>
        </is>
      </c>
      <c r="D37" s="9" t="n">
        <v>1</v>
      </c>
      <c r="E37" s="9" t="n">
        <v>1</v>
      </c>
      <c r="F37" s="9" t="n">
        <v>1</v>
      </c>
      <c r="G37" s="10" t="n">
        <v>79.90000000000001</v>
      </c>
      <c r="H37" s="8" t="inlineStr">
        <is>
          <t>nenhum distribuidor cotou</t>
        </is>
      </c>
    </row>
    <row r="38">
      <c r="A38" s="8" t="n">
        <v>622611</v>
      </c>
      <c r="B38" s="8" t="inlineStr">
        <is>
          <t>5000456070423</t>
        </is>
      </c>
      <c r="C38" s="8" t="inlineStr">
        <is>
          <t>FORXIGA 10MG CX 30 COMP</t>
        </is>
      </c>
      <c r="D38" s="9" t="n">
        <v>1</v>
      </c>
      <c r="E38" s="9" t="n">
        <v>2</v>
      </c>
      <c r="F38" s="9" t="n">
        <v>2</v>
      </c>
      <c r="G38" s="10" t="n">
        <v>164.855</v>
      </c>
      <c r="H38" s="8" t="inlineStr">
        <is>
          <t>nenhum distribuidor cotou</t>
        </is>
      </c>
    </row>
    <row r="39">
      <c r="A39" s="8" t="n">
        <v>595291</v>
      </c>
      <c r="B39" s="8" t="inlineStr">
        <is>
          <t>7898495609289</t>
        </is>
      </c>
      <c r="C39" s="8" t="inlineStr">
        <is>
          <t>GROW CALCIO 150ML + SER DOS</t>
        </is>
      </c>
      <c r="D39" s="9" t="n">
        <v>1</v>
      </c>
      <c r="E39" s="9" t="n">
        <v>1</v>
      </c>
      <c r="F39" s="9" t="n">
        <v>1</v>
      </c>
      <c r="G39" s="10" t="n">
        <v>59.83</v>
      </c>
      <c r="H39" s="8" t="inlineStr">
        <is>
          <t>nenhum distribuidor cotou</t>
        </is>
      </c>
    </row>
    <row r="40">
      <c r="A40" s="8" t="n">
        <v>627211</v>
      </c>
      <c r="B40" s="8" t="inlineStr">
        <is>
          <t>7908020501435</t>
        </is>
      </c>
      <c r="C40" s="8" t="inlineStr">
        <is>
          <t>GROW D 10ML-DEMAIS PROD</t>
        </is>
      </c>
      <c r="D40" s="9" t="n">
        <v>1</v>
      </c>
      <c r="E40" s="9" t="n">
        <v>1</v>
      </c>
      <c r="F40" s="9" t="n">
        <v>1</v>
      </c>
      <c r="G40" s="10" t="n">
        <v>39.47</v>
      </c>
      <c r="H40" s="8" t="inlineStr">
        <is>
          <t>sem estoque na Nazária</t>
        </is>
      </c>
    </row>
    <row r="41">
      <c r="A41" s="8" t="n">
        <v>559601</v>
      </c>
      <c r="B41" s="8" t="inlineStr">
        <is>
          <t>7898495609326</t>
        </is>
      </c>
      <c r="C41" s="8" t="inlineStr">
        <is>
          <t>GROW VIT BB C/20ML (CFE)</t>
        </is>
      </c>
      <c r="D41" s="9" t="n">
        <v>1</v>
      </c>
      <c r="E41" s="9" t="n">
        <v>1</v>
      </c>
      <c r="F41" s="9" t="n">
        <v>1</v>
      </c>
      <c r="G41" s="10" t="n">
        <v>37.1</v>
      </c>
      <c r="H41" s="8" t="inlineStr">
        <is>
          <t>sem estoque na Nazária</t>
        </is>
      </c>
    </row>
    <row r="42">
      <c r="A42" s="8" t="n">
        <v>619571</v>
      </c>
      <c r="B42" s="8" t="inlineStr">
        <is>
          <t>4005900163875</t>
        </is>
      </c>
      <c r="C42" s="8" t="inlineStr">
        <is>
          <t>HIDRAT NIVEA ANTIC PERNAS RENOV 400ML   NIVE %DN:2.00</t>
        </is>
      </c>
      <c r="D42" s="9" t="n">
        <v>1</v>
      </c>
      <c r="E42" s="9" t="n">
        <v>1</v>
      </c>
      <c r="F42" s="9" t="n">
        <v>1</v>
      </c>
      <c r="G42" s="10" t="n">
        <v>35.4725</v>
      </c>
      <c r="H42" s="8" t="inlineStr">
        <is>
          <t>nenhum distribuidor cotou</t>
        </is>
      </c>
    </row>
    <row r="43">
      <c r="A43" s="8" t="n">
        <v>153101</v>
      </c>
      <c r="B43" s="8" t="inlineStr">
        <is>
          <t>7896212478750</t>
        </is>
      </c>
      <c r="C43" s="8" t="inlineStr">
        <is>
          <t>IMOSEC 2MG CX 12 COMP</t>
        </is>
      </c>
      <c r="D43" s="9" t="n">
        <v>1</v>
      </c>
      <c r="E43" s="9" t="n">
        <v>25</v>
      </c>
      <c r="F43" s="9" t="n">
        <v>25</v>
      </c>
      <c r="G43" s="10" t="n">
        <v>8.399100000000001</v>
      </c>
      <c r="H43" s="8" t="inlineStr">
        <is>
          <t>nenhum distribuidor cotou</t>
        </is>
      </c>
    </row>
    <row r="44">
      <c r="A44" s="8" t="n">
        <v>594881</v>
      </c>
      <c r="B44" s="8" t="inlineStr">
        <is>
          <t>7898639690975</t>
        </is>
      </c>
      <c r="C44" s="8" t="inlineStr">
        <is>
          <t>INALADOR NEBULIZADOR COMPACT DC1 G-TECH</t>
        </is>
      </c>
      <c r="D44" s="9" t="n">
        <v>1</v>
      </c>
      <c r="E44" s="9" t="n">
        <v>1</v>
      </c>
      <c r="F44" s="9" t="n">
        <v>1</v>
      </c>
      <c r="G44" s="10" t="n">
        <v>90.756</v>
      </c>
      <c r="H44" s="8" t="inlineStr">
        <is>
          <t>nenhum distribuidor cotou</t>
        </is>
      </c>
    </row>
    <row r="45">
      <c r="A45" s="8" t="n">
        <v>570201</v>
      </c>
      <c r="B45" s="8" t="inlineStr">
        <is>
          <t>7896004762098</t>
        </is>
      </c>
      <c r="C45" s="8" t="inlineStr">
        <is>
          <t>LACDAY 8CPR MAST</t>
        </is>
      </c>
      <c r="D45" s="9" t="n">
        <v>1</v>
      </c>
      <c r="E45" s="9" t="n">
        <v>2</v>
      </c>
      <c r="F45" s="9" t="n">
        <v>2</v>
      </c>
      <c r="G45" s="10" t="n">
        <v>16.73</v>
      </c>
      <c r="H45" s="8" t="inlineStr">
        <is>
          <t>sem estoque na Nazária</t>
        </is>
      </c>
    </row>
    <row r="46">
      <c r="A46" s="8" t="n">
        <v>1183</v>
      </c>
      <c r="B46" s="8" t="inlineStr">
        <is>
          <t>7898639691965</t>
        </is>
      </c>
      <c r="C46" s="8" t="inlineStr">
        <is>
          <t>LANCETAS PARA LANCETADOR 30G C/50 UND</t>
        </is>
      </c>
      <c r="D46" s="9" t="n">
        <v>1</v>
      </c>
      <c r="E46" s="9" t="n">
        <v>1</v>
      </c>
      <c r="F46" s="9" t="n">
        <v>1</v>
      </c>
      <c r="G46" s="10" t="n">
        <v>2.84</v>
      </c>
      <c r="H46" s="8" t="inlineStr">
        <is>
          <t>nenhum distribuidor cotou</t>
        </is>
      </c>
    </row>
    <row r="47">
      <c r="A47" s="8" t="n">
        <v>655561</v>
      </c>
      <c r="B47" s="8" t="inlineStr">
        <is>
          <t>7891317029869</t>
        </is>
      </c>
      <c r="C47" s="8" t="inlineStr">
        <is>
          <t>LARC 500MG C/14 COMP-SIMILAR</t>
        </is>
      </c>
      <c r="D47" s="9" t="n">
        <v>1</v>
      </c>
      <c r="E47" s="9" t="n">
        <v>1</v>
      </c>
      <c r="F47" s="9" t="n">
        <v>1</v>
      </c>
      <c r="G47" s="10" t="n">
        <v>33.36</v>
      </c>
      <c r="H47" s="8" t="inlineStr">
        <is>
          <t>sem estoque na Nazária</t>
        </is>
      </c>
    </row>
    <row r="48">
      <c r="A48" s="8" t="n">
        <v>623531</v>
      </c>
      <c r="B48" s="8" t="inlineStr">
        <is>
          <t>3337875803786</t>
        </is>
      </c>
      <c r="C48" s="8" t="inlineStr">
        <is>
          <t>LIPIKAR BAUME LIGHT AP+M 400ML-DEMAIS PROD</t>
        </is>
      </c>
      <c r="D48" s="9" t="n">
        <v>1</v>
      </c>
      <c r="E48" s="9" t="n">
        <v>1</v>
      </c>
      <c r="F48" s="9" t="n">
        <v>1</v>
      </c>
      <c r="G48" s="10" t="n">
        <v>162.55</v>
      </c>
      <c r="H48" s="8" t="inlineStr">
        <is>
          <t>sem estoque na Nazária</t>
        </is>
      </c>
    </row>
    <row r="49">
      <c r="A49" s="8" t="n">
        <v>619591</v>
      </c>
      <c r="B49" s="8" t="inlineStr">
        <is>
          <t>4005900399861</t>
        </is>
      </c>
      <c r="C49" s="8" t="inlineStr">
        <is>
          <t>LOC NIVEA DEO HIDRA DERMA CARE 200ML</t>
        </is>
      </c>
      <c r="D49" s="9" t="n">
        <v>1</v>
      </c>
      <c r="E49" s="9" t="n">
        <v>1</v>
      </c>
      <c r="F49" s="9" t="n">
        <v>1</v>
      </c>
      <c r="G49" s="10" t="n">
        <v>35.77</v>
      </c>
      <c r="H49" s="8" t="inlineStr">
        <is>
          <t>nenhum distribuidor cotou</t>
        </is>
      </c>
    </row>
    <row r="50">
      <c r="A50" s="8" t="n">
        <v>62761</v>
      </c>
      <c r="B50" s="8" t="inlineStr">
        <is>
          <t>7896637023443</t>
        </is>
      </c>
      <c r="C50" s="8" t="inlineStr">
        <is>
          <t>LONIUM 40MG CX 30 COMP REV</t>
        </is>
      </c>
      <c r="D50" s="9" t="n">
        <v>1</v>
      </c>
      <c r="E50" s="9" t="n">
        <v>1</v>
      </c>
      <c r="F50" s="9" t="n">
        <v>1</v>
      </c>
      <c r="G50" s="10" t="n">
        <v>59.94</v>
      </c>
      <c r="H50" s="8" t="inlineStr">
        <is>
          <t>nenhum distribuidor cotou</t>
        </is>
      </c>
    </row>
    <row r="51">
      <c r="A51" s="8" t="n">
        <v>553481</v>
      </c>
      <c r="B51" s="8" t="inlineStr">
        <is>
          <t>7895858017422</t>
        </is>
      </c>
      <c r="C51" s="8" t="inlineStr">
        <is>
          <t>MAGNESIA BISURADA 63,7+521+67+3,3MG(CARTELA)</t>
        </is>
      </c>
      <c r="D51" s="9" t="n">
        <v>4</v>
      </c>
      <c r="E51" s="9" t="n">
        <v>3</v>
      </c>
      <c r="F51" s="9" t="n">
        <v>12</v>
      </c>
      <c r="G51" s="10" t="n">
        <v>8.754799999999999</v>
      </c>
      <c r="H51" s="8" t="inlineStr">
        <is>
          <t>nenhum distribuidor cotou</t>
        </is>
      </c>
    </row>
    <row r="52">
      <c r="A52" s="8" t="n">
        <v>79381</v>
      </c>
      <c r="B52" s="8" t="inlineStr">
        <is>
          <t>7895858017309</t>
        </is>
      </c>
      <c r="C52" s="8" t="inlineStr">
        <is>
          <t>MAGNESIA BISURADA 63,70+521,0+67,0+3,30MG CX 200 PAST</t>
        </is>
      </c>
      <c r="D52" s="9" t="n">
        <v>20</v>
      </c>
      <c r="E52" s="9" t="n">
        <v>1</v>
      </c>
      <c r="F52" s="9" t="n">
        <v>20</v>
      </c>
      <c r="G52" s="10" t="n">
        <v>8.995799999999999</v>
      </c>
      <c r="H52" s="8" t="inlineStr">
        <is>
          <t>nenhum distribuidor cotou</t>
        </is>
      </c>
    </row>
    <row r="53">
      <c r="A53" s="8" t="n">
        <v>449941</v>
      </c>
      <c r="B53" s="8" t="inlineStr">
        <is>
          <t>7896026170475</t>
        </is>
      </c>
      <c r="C53" s="8" t="inlineStr">
        <is>
          <t>MALVATRICIN 0,1+1MG/ML SOL TOP FR 250ML</t>
        </is>
      </c>
      <c r="D53" s="9" t="n">
        <v>1</v>
      </c>
      <c r="E53" s="9" t="n">
        <v>1</v>
      </c>
      <c r="F53" s="9" t="n">
        <v>1</v>
      </c>
      <c r="G53" s="10" t="n">
        <v>27.715</v>
      </c>
      <c r="H53" s="8" t="inlineStr">
        <is>
          <t>sem estoque na Nazária</t>
        </is>
      </c>
    </row>
    <row r="54">
      <c r="A54" s="8" t="n">
        <v>654241</v>
      </c>
      <c r="B54" s="8" t="inlineStr">
        <is>
          <t>7896026172158</t>
        </is>
      </c>
      <c r="C54" s="8" t="inlineStr">
        <is>
          <t>MALVATRIKIDS JUNIOR GEL DENT 85G</t>
        </is>
      </c>
      <c r="D54" s="9" t="n">
        <v>1</v>
      </c>
      <c r="E54" s="9" t="n">
        <v>1</v>
      </c>
      <c r="F54" s="9" t="n">
        <v>1</v>
      </c>
      <c r="G54" s="10" t="n">
        <v>16.725</v>
      </c>
      <c r="H54" s="8" t="inlineStr">
        <is>
          <t>sem estoque na Nazária</t>
        </is>
      </c>
    </row>
    <row r="55">
      <c r="A55" s="8" t="n">
        <v>652061</v>
      </c>
      <c r="B55" s="8" t="inlineStr">
        <is>
          <t>7891317029951</t>
        </is>
      </c>
      <c r="C55" s="8" t="inlineStr">
        <is>
          <t>MAQ SENIOR PREMIUM 30CPR-DEMAIS PROD</t>
        </is>
      </c>
      <c r="D55" s="9" t="n">
        <v>1</v>
      </c>
      <c r="E55" s="9" t="n">
        <v>1</v>
      </c>
      <c r="F55" s="9" t="n">
        <v>1</v>
      </c>
      <c r="G55" s="10" t="n">
        <v>40.97</v>
      </c>
      <c r="H55" s="8" t="inlineStr">
        <is>
          <t>nenhum distribuidor cotou</t>
        </is>
      </c>
    </row>
    <row r="56">
      <c r="A56" s="8" t="n">
        <v>664741</v>
      </c>
      <c r="B56" s="8" t="inlineStr">
        <is>
          <t>7891000359426</t>
        </is>
      </c>
      <c r="C56" s="8" t="inlineStr">
        <is>
          <t>MATERNA DHA 30CAP</t>
        </is>
      </c>
      <c r="D56" s="9" t="n">
        <v>1</v>
      </c>
      <c r="E56" s="9" t="n">
        <v>1</v>
      </c>
      <c r="F56" s="9" t="n">
        <v>1</v>
      </c>
      <c r="G56" s="10" t="n">
        <v>62.74</v>
      </c>
      <c r="H56" s="8" t="inlineStr">
        <is>
          <t>sem estoque no ePan; sem estoque na Nazária</t>
        </is>
      </c>
    </row>
    <row r="57">
      <c r="A57" s="8" t="n">
        <v>667521</v>
      </c>
      <c r="B57" s="8" t="inlineStr">
        <is>
          <t>7891000361887</t>
        </is>
      </c>
      <c r="C57" s="8" t="inlineStr">
        <is>
          <t>MATERNA SUPL MV DHA 30 CAPS-DEMAIS PROD</t>
        </is>
      </c>
      <c r="D57" s="9" t="n">
        <v>1</v>
      </c>
      <c r="E57" s="9" t="n">
        <v>1</v>
      </c>
      <c r="F57" s="9" t="n">
        <v>1</v>
      </c>
      <c r="G57" s="10" t="n">
        <v>104.56</v>
      </c>
      <c r="H57" s="8" t="inlineStr">
        <is>
          <t>sem estoque no ePan</t>
        </is>
      </c>
    </row>
    <row r="58">
      <c r="A58" s="8" t="n">
        <v>588701</v>
      </c>
      <c r="B58" s="8" t="inlineStr">
        <is>
          <t>7898495605533</t>
        </is>
      </c>
      <c r="C58" s="8" t="inlineStr">
        <is>
          <t>MAXIMUS A-Z C/30CP (CFE)</t>
        </is>
      </c>
      <c r="D58" s="9" t="n">
        <v>1</v>
      </c>
      <c r="E58" s="9" t="n">
        <v>1</v>
      </c>
      <c r="F58" s="9" t="n">
        <v>1</v>
      </c>
      <c r="G58" s="10" t="n">
        <v>85.77</v>
      </c>
      <c r="H58" s="8" t="inlineStr">
        <is>
          <t>nenhum distribuidor cotou</t>
        </is>
      </c>
    </row>
    <row r="59">
      <c r="A59" s="8" t="n">
        <v>640331</v>
      </c>
      <c r="B59" s="8" t="inlineStr">
        <is>
          <t>7897947610491</t>
        </is>
      </c>
      <c r="C59" s="8" t="inlineStr">
        <is>
          <t>MEGA DAY JUNIOR XPE FR 240ML</t>
        </is>
      </c>
      <c r="D59" s="9" t="n">
        <v>1</v>
      </c>
      <c r="E59" s="9" t="n">
        <v>1</v>
      </c>
      <c r="F59" s="9" t="n">
        <v>1</v>
      </c>
      <c r="G59" s="10" t="n">
        <v>8.4</v>
      </c>
      <c r="H59" s="8" t="inlineStr">
        <is>
          <t>nenhum distribuidor cotou</t>
        </is>
      </c>
    </row>
    <row r="60">
      <c r="A60" s="8" t="n">
        <v>626141</v>
      </c>
      <c r="B60" s="8" t="inlineStr">
        <is>
          <t>7891317011598</t>
        </is>
      </c>
      <c r="C60" s="8" t="inlineStr">
        <is>
          <t>MELOCOX ODT 15MG CX 10 COMP ORODISP</t>
        </is>
      </c>
      <c r="D60" s="9" t="n">
        <v>1</v>
      </c>
      <c r="E60" s="9" t="n">
        <v>2</v>
      </c>
      <c r="F60" s="9" t="n">
        <v>2</v>
      </c>
      <c r="G60" s="10" t="n">
        <v>34.7333</v>
      </c>
      <c r="H60" s="8" t="inlineStr">
        <is>
          <t>sem estoque no ePan; sem estoque na Nazária</t>
        </is>
      </c>
    </row>
    <row r="61">
      <c r="A61" s="8" t="n">
        <v>621241</v>
      </c>
      <c r="B61" s="8" t="inlineStr">
        <is>
          <t>7896920304334</t>
        </is>
      </c>
      <c r="C61" s="8" t="inlineStr">
        <is>
          <t>MILMUNE CONCENTRADO 120ML</t>
        </is>
      </c>
      <c r="D61" s="9" t="n">
        <v>1</v>
      </c>
      <c r="E61" s="9" t="n">
        <v>3</v>
      </c>
      <c r="F61" s="9" t="n">
        <v>3</v>
      </c>
      <c r="G61" s="10" t="n">
        <v>21.33</v>
      </c>
      <c r="H61" s="8" t="inlineStr">
        <is>
          <t>nenhum distribuidor cotou</t>
        </is>
      </c>
    </row>
    <row r="62">
      <c r="A62" s="8" t="n">
        <v>557961</v>
      </c>
      <c r="B62" s="8" t="inlineStr">
        <is>
          <t>7896920304037</t>
        </is>
      </c>
      <c r="C62" s="8" t="inlineStr">
        <is>
          <t>MILMUNE CONCENTRADO 30CP</t>
        </is>
      </c>
      <c r="D62" s="9" t="n">
        <v>1</v>
      </c>
      <c r="E62" s="9" t="n">
        <v>5</v>
      </c>
      <c r="F62" s="9" t="n">
        <v>5</v>
      </c>
      <c r="G62" s="10" t="n">
        <v>34.22</v>
      </c>
      <c r="H62" s="8" t="inlineStr">
        <is>
          <t>nenhum distribuidor cotou</t>
        </is>
      </c>
    </row>
    <row r="63">
      <c r="A63" s="8" t="n">
        <v>229001</v>
      </c>
      <c r="B63" s="8" t="inlineStr">
        <is>
          <t>7896212429738</t>
        </is>
      </c>
      <c r="C63" s="8" t="inlineStr">
        <is>
          <t>MOTILIUM 10MG CX 30 COMP</t>
        </is>
      </c>
      <c r="D63" s="9" t="n">
        <v>1</v>
      </c>
      <c r="E63" s="9" t="n">
        <v>4</v>
      </c>
      <c r="F63" s="9" t="n">
        <v>4</v>
      </c>
      <c r="G63" s="10" t="n">
        <v>27.02</v>
      </c>
      <c r="H63" s="8" t="inlineStr">
        <is>
          <t>nenhum distribuidor cotou</t>
        </is>
      </c>
    </row>
    <row r="64">
      <c r="A64" s="8" t="n">
        <v>328301</v>
      </c>
      <c r="B64" s="8" t="inlineStr">
        <is>
          <t>7896094201637</t>
        </is>
      </c>
      <c r="C64" s="8" t="inlineStr">
        <is>
          <t>MUVINLAX CX 20 SACH X 14G</t>
        </is>
      </c>
      <c r="D64" s="9" t="n">
        <v>1</v>
      </c>
      <c r="E64" s="9" t="n">
        <v>4</v>
      </c>
      <c r="F64" s="9" t="n">
        <v>4</v>
      </c>
      <c r="G64" s="10" t="n">
        <v>41.45</v>
      </c>
      <c r="H64" s="8" t="inlineStr">
        <is>
          <t>sem estoque na Nazária</t>
        </is>
      </c>
    </row>
    <row r="65">
      <c r="A65" s="8" t="n">
        <v>611031</v>
      </c>
      <c r="B65" s="8" t="inlineStr">
        <is>
          <t>4015630064205</t>
        </is>
      </c>
      <c r="C65" s="8" t="inlineStr">
        <is>
          <t>N ACCU-CHEK ACTIVE 10TIRAS   ROCH %DN:0.00</t>
        </is>
      </c>
      <c r="D65" s="9" t="n">
        <v>1</v>
      </c>
      <c r="E65" s="9" t="n">
        <v>1</v>
      </c>
      <c r="F65" s="9" t="n">
        <v>1</v>
      </c>
      <c r="G65" s="10" t="n">
        <v>29.16</v>
      </c>
      <c r="H65" s="8" t="inlineStr">
        <is>
          <t>sem estoque na Nazária</t>
        </is>
      </c>
    </row>
    <row r="66">
      <c r="A66" s="8" t="n">
        <v>579461</v>
      </c>
      <c r="B66" s="8" t="inlineStr"/>
      <c r="C66" s="8" t="inlineStr">
        <is>
          <t>NALDECON MULTI 800+20MG CARTELA C/ 4 CP</t>
        </is>
      </c>
      <c r="D66" s="9" t="n">
        <v>10</v>
      </c>
      <c r="E66" s="9" t="n">
        <v>1</v>
      </c>
      <c r="F66" s="9" t="n">
        <v>10</v>
      </c>
      <c r="G66" s="10" t="n">
        <v>6.8011</v>
      </c>
      <c r="H66" s="8" t="inlineStr">
        <is>
          <t>nenhum distribuidor cotou</t>
        </is>
      </c>
    </row>
    <row r="67">
      <c r="A67" s="8" t="n">
        <v>16441</v>
      </c>
      <c r="B67" s="8" t="inlineStr">
        <is>
          <t>7894916500425</t>
        </is>
      </c>
      <c r="C67" s="8" t="inlineStr">
        <is>
          <t>NEUTROFER FOLICO 150MG FR 30 COMP</t>
        </is>
      </c>
      <c r="D67" s="9" t="n">
        <v>1</v>
      </c>
      <c r="E67" s="9" t="n">
        <v>1</v>
      </c>
      <c r="F67" s="9" t="n">
        <v>1</v>
      </c>
      <c r="G67" s="10" t="n">
        <v>34.355</v>
      </c>
      <c r="H67" s="8" t="inlineStr">
        <is>
          <t>sem estoque no ePan; sem estoque na Nazária</t>
        </is>
      </c>
    </row>
    <row r="68">
      <c r="A68" s="8" t="n">
        <v>652651</v>
      </c>
      <c r="B68" s="8" t="inlineStr">
        <is>
          <t>4005900929679</t>
        </is>
      </c>
      <c r="C68" s="8" t="inlineStr">
        <is>
          <t>NIVEA VISAGE CELLULLAR LIFT EXPERT DIA SPF 30 50GRS</t>
        </is>
      </c>
      <c r="D68" s="9" t="n">
        <v>1</v>
      </c>
      <c r="E68" s="9" t="n">
        <v>1</v>
      </c>
      <c r="F68" s="9" t="n">
        <v>1</v>
      </c>
      <c r="G68" s="10" t="n">
        <v>50.02</v>
      </c>
      <c r="H68" s="8" t="inlineStr">
        <is>
          <t>nenhum distribuidor cotou</t>
        </is>
      </c>
    </row>
    <row r="69">
      <c r="A69" s="8" t="n">
        <v>588811</v>
      </c>
      <c r="B69" s="8" t="inlineStr">
        <is>
          <t>7898581710547</t>
        </is>
      </c>
      <c r="C69" s="8" t="inlineStr">
        <is>
          <t>NORIPURUM 100MG CX 30 COMP MAST</t>
        </is>
      </c>
      <c r="D69" s="9" t="n">
        <v>1</v>
      </c>
      <c r="E69" s="9" t="n">
        <v>5</v>
      </c>
      <c r="F69" s="9" t="n">
        <v>5</v>
      </c>
      <c r="G69" s="10" t="n">
        <v>52.5033</v>
      </c>
      <c r="H69" s="8" t="inlineStr">
        <is>
          <t>sem estoque no ePan; sem estoque na Nazária</t>
        </is>
      </c>
    </row>
    <row r="70">
      <c r="A70" s="8" t="n">
        <v>601521</v>
      </c>
      <c r="B70" s="8" t="inlineStr">
        <is>
          <t>7898581710615</t>
        </is>
      </c>
      <c r="C70" s="8" t="inlineStr">
        <is>
          <t>NORIPURUM ENDOV INJ 5 AMP X 5ML</t>
        </is>
      </c>
      <c r="D70" s="9" t="n">
        <v>1</v>
      </c>
      <c r="E70" s="9" t="n">
        <v>1</v>
      </c>
      <c r="F70" s="9" t="n">
        <v>1</v>
      </c>
      <c r="G70" s="10" t="n">
        <v>68.31</v>
      </c>
      <c r="H70" s="8" t="inlineStr">
        <is>
          <t>sem estoque no ePan; sem estoque na Nazária</t>
        </is>
      </c>
    </row>
    <row r="71">
      <c r="A71" s="8" t="inlineStr">
        <is>
          <t>TOTAL GERAL</t>
        </is>
      </c>
      <c r="B71" s="8" t="inlineStr"/>
      <c r="C71" s="8" t="n"/>
      <c r="D71" s="9" t="n">
        <v>1152</v>
      </c>
      <c r="E71" s="9" t="n">
        <v>2072</v>
      </c>
      <c r="F71" s="9" t="n">
        <v>3234</v>
      </c>
      <c r="G71" s="10" t="n"/>
      <c r="H71" s="8" t="inlineStr">
        <is>
          <t>nenhum distribuidor cotou</t>
        </is>
      </c>
    </row>
    <row r="72">
      <c r="A72" s="8" t="n">
        <v>565041</v>
      </c>
      <c r="B72" s="8" t="inlineStr">
        <is>
          <t>78900813</t>
        </is>
      </c>
      <c r="C72" s="8" t="inlineStr">
        <is>
          <t>PASTILHAS VALDA CLASSIC 24G</t>
        </is>
      </c>
      <c r="D72" s="9" t="n">
        <v>12</v>
      </c>
      <c r="E72" s="9" t="n">
        <v>1</v>
      </c>
      <c r="F72" s="9" t="n">
        <v>12</v>
      </c>
      <c r="G72" s="10" t="n">
        <v>4.6233</v>
      </c>
      <c r="H72" s="8" t="inlineStr">
        <is>
          <t>nenhum distribuidor cotou</t>
        </is>
      </c>
    </row>
    <row r="73">
      <c r="A73" s="8" t="n">
        <v>652011</v>
      </c>
      <c r="B73" s="8" t="inlineStr">
        <is>
          <t>7891158106460</t>
        </is>
      </c>
      <c r="C73" s="8" t="inlineStr">
        <is>
          <t>PEDIALYTE MAX COCO 500ML</t>
        </is>
      </c>
      <c r="D73" s="9" t="n">
        <v>1</v>
      </c>
      <c r="E73" s="9" t="n">
        <v>2</v>
      </c>
      <c r="F73" s="9" t="n">
        <v>2</v>
      </c>
      <c r="G73" s="10" t="n">
        <v>20.09</v>
      </c>
      <c r="H73" s="8" t="inlineStr">
        <is>
          <t>sem estoque no ePan</t>
        </is>
      </c>
    </row>
    <row r="74">
      <c r="A74" s="8" t="n">
        <v>17603</v>
      </c>
      <c r="B74" s="8" t="inlineStr">
        <is>
          <t>7896026172356</t>
        </is>
      </c>
      <c r="C74" s="8" t="inlineStr">
        <is>
          <t>PENETRO SPRAY 50ML</t>
        </is>
      </c>
      <c r="D74" s="9" t="n">
        <v>1</v>
      </c>
      <c r="E74" s="9" t="n">
        <v>1</v>
      </c>
      <c r="F74" s="9" t="n">
        <v>1</v>
      </c>
      <c r="G74" s="10" t="n">
        <v>33.915</v>
      </c>
      <c r="H74" s="8" t="inlineStr">
        <is>
          <t>sem estoque na Nazária</t>
        </is>
      </c>
    </row>
    <row r="75">
      <c r="A75" s="8" t="n">
        <v>255821</v>
      </c>
      <c r="B75" s="8" t="inlineStr">
        <is>
          <t>7891317004163</t>
        </is>
      </c>
      <c r="C75" s="8" t="inlineStr">
        <is>
          <t>PRENI 11MG/ML SOL OR FR GOT 20ML</t>
        </is>
      </c>
      <c r="D75" s="9" t="n">
        <v>1</v>
      </c>
      <c r="E75" s="9" t="n">
        <v>1</v>
      </c>
      <c r="F75" s="9" t="n">
        <v>1</v>
      </c>
      <c r="G75" s="10" t="n">
        <v>27.63</v>
      </c>
      <c r="H75" s="8" t="inlineStr">
        <is>
          <t>sem estoque no ePan</t>
        </is>
      </c>
    </row>
    <row r="76">
      <c r="A76" s="8" t="n">
        <v>408261</v>
      </c>
      <c r="B76" s="8" t="inlineStr">
        <is>
          <t>7891317004095</t>
        </is>
      </c>
      <c r="C76" s="8" t="inlineStr">
        <is>
          <t>PRENI 20MG CX 10 COMP</t>
        </is>
      </c>
      <c r="D76" s="9" t="n">
        <v>1</v>
      </c>
      <c r="E76" s="9" t="n">
        <v>1</v>
      </c>
      <c r="F76" s="9" t="n">
        <v>1</v>
      </c>
      <c r="G76" s="10" t="n">
        <v>19.31</v>
      </c>
      <c r="H76" s="8" t="inlineStr">
        <is>
          <t>sem estoque no ePan</t>
        </is>
      </c>
    </row>
    <row r="77">
      <c r="A77" s="8" t="n">
        <v>613011</v>
      </c>
      <c r="B77" s="8" t="inlineStr">
        <is>
          <t>7891317476410</t>
        </is>
      </c>
      <c r="C77" s="8" t="inlineStr">
        <is>
          <t>PRENI 3MG/ML SOL OR FR 120ML+SER DOS</t>
        </is>
      </c>
      <c r="D77" s="9" t="n">
        <v>1</v>
      </c>
      <c r="E77" s="9" t="n">
        <v>1</v>
      </c>
      <c r="F77" s="9" t="n">
        <v>1</v>
      </c>
      <c r="G77" s="10" t="n">
        <v>38.63</v>
      </c>
      <c r="H77" s="8" t="inlineStr">
        <is>
          <t>nenhum distribuidor cotou</t>
        </is>
      </c>
    </row>
    <row r="78">
      <c r="A78" s="8" t="n">
        <v>256001</v>
      </c>
      <c r="B78" s="8" t="inlineStr">
        <is>
          <t>7891317004217</t>
        </is>
      </c>
      <c r="C78" s="8" t="inlineStr">
        <is>
          <t>PRENI 3MG/ML SOL OR FR 60ML+SER DOS</t>
        </is>
      </c>
      <c r="D78" s="9" t="n">
        <v>1</v>
      </c>
      <c r="E78" s="9" t="n">
        <v>1</v>
      </c>
      <c r="F78" s="9" t="n">
        <v>1</v>
      </c>
      <c r="G78" s="10" t="n">
        <v>18.91</v>
      </c>
      <c r="H78" s="8" t="inlineStr">
        <is>
          <t>sem estoque no ePan</t>
        </is>
      </c>
    </row>
    <row r="79">
      <c r="A79" s="8" t="n">
        <v>563381</v>
      </c>
      <c r="B79" s="8" t="inlineStr">
        <is>
          <t>7891106914048</t>
        </is>
      </c>
      <c r="C79" s="8" t="inlineStr">
        <is>
          <t>PRIMOGYNA 2MG CX 28 DRG</t>
        </is>
      </c>
      <c r="D79" s="9" t="n">
        <v>1</v>
      </c>
      <c r="E79" s="9" t="n">
        <v>1</v>
      </c>
      <c r="F79" s="9" t="n">
        <v>1</v>
      </c>
      <c r="G79" s="10" t="n">
        <v>78.16</v>
      </c>
      <c r="H79" s="8" t="inlineStr">
        <is>
          <t>nenhum distribuidor cotou</t>
        </is>
      </c>
    </row>
    <row r="80">
      <c r="A80" s="8" t="n">
        <v>641821</v>
      </c>
      <c r="B80" s="8" t="inlineStr">
        <is>
          <t>7897732609464</t>
        </is>
      </c>
      <c r="C80" s="8" t="inlineStr">
        <is>
          <t>PROPZINCO SPR MENTA 30ML</t>
        </is>
      </c>
      <c r="D80" s="9" t="n">
        <v>1</v>
      </c>
      <c r="E80" s="9" t="n">
        <v>2</v>
      </c>
      <c r="F80" s="9" t="n">
        <v>2</v>
      </c>
      <c r="G80" s="10" t="n">
        <v>7.55</v>
      </c>
      <c r="H80" s="8" t="inlineStr">
        <is>
          <t>sem estoque na Nazária</t>
        </is>
      </c>
    </row>
    <row r="81">
      <c r="A81" s="8" t="n">
        <v>623561</v>
      </c>
      <c r="B81" s="8" t="inlineStr">
        <is>
          <t>4005900921574</t>
        </is>
      </c>
      <c r="C81" s="8" t="inlineStr">
        <is>
          <t>PROT LABIAL COLOR VERMELHO 4,8G-DEMAIS PROD</t>
        </is>
      </c>
      <c r="D81" s="9" t="n">
        <v>1</v>
      </c>
      <c r="E81" s="9" t="n">
        <v>1</v>
      </c>
      <c r="F81" s="9" t="n">
        <v>1</v>
      </c>
      <c r="G81" s="10" t="n">
        <v>21.13</v>
      </c>
      <c r="H81" s="8" t="inlineStr">
        <is>
          <t>nenhum distribuidor cotou</t>
        </is>
      </c>
    </row>
    <row r="82">
      <c r="A82" s="8" t="n">
        <v>320961</v>
      </c>
      <c r="B82" s="8" t="inlineStr">
        <is>
          <t>7897595903365</t>
        </is>
      </c>
      <c r="C82" s="8" t="inlineStr">
        <is>
          <t>PURAN T4 88MCG CX 30 COMP</t>
        </is>
      </c>
      <c r="D82" s="9" t="n">
        <v>1</v>
      </c>
      <c r="E82" s="9" t="n">
        <v>5</v>
      </c>
      <c r="F82" s="9" t="n">
        <v>5</v>
      </c>
      <c r="G82" s="10" t="n">
        <v>16.105</v>
      </c>
      <c r="H82" s="8" t="inlineStr">
        <is>
          <t>sem estoque no ePan; sem estoque na Nazária</t>
        </is>
      </c>
    </row>
    <row r="83">
      <c r="A83" s="8" t="n">
        <v>594241</v>
      </c>
      <c r="B83" s="8" t="inlineStr">
        <is>
          <t>7898636191079</t>
        </is>
      </c>
      <c r="C83" s="8" t="inlineStr">
        <is>
          <t>PV - ASEPXIA SAB LIQ ESFOLIANTE 100ML</t>
        </is>
      </c>
      <c r="D83" s="9" t="n">
        <v>1</v>
      </c>
      <c r="E83" s="9" t="n">
        <v>1</v>
      </c>
      <c r="F83" s="9" t="n">
        <v>1</v>
      </c>
      <c r="G83" s="10" t="n">
        <v>21.375</v>
      </c>
      <c r="H83" s="8" t="inlineStr">
        <is>
          <t>nenhum distribuidor cotou</t>
        </is>
      </c>
    </row>
    <row r="84">
      <c r="A84" s="8" t="n">
        <v>619551</v>
      </c>
      <c r="B84" s="8" t="inlineStr">
        <is>
          <t>3282779340274</t>
        </is>
      </c>
      <c r="C84" s="8" t="inlineStr">
        <is>
          <t>PV - KIT AVENE MAT PERFECT COR FPS60+CLEANANCE 40G</t>
        </is>
      </c>
      <c r="D84" s="9" t="n">
        <v>1</v>
      </c>
      <c r="E84" s="9" t="n">
        <v>1</v>
      </c>
      <c r="F84" s="9" t="n">
        <v>1</v>
      </c>
      <c r="G84" s="10" t="n">
        <v>77.02</v>
      </c>
      <c r="H84" s="8" t="inlineStr">
        <is>
          <t>nenhum distribuidor cotou</t>
        </is>
      </c>
    </row>
    <row r="85">
      <c r="A85" s="8" t="n">
        <v>624261</v>
      </c>
      <c r="B85" s="8" t="inlineStr">
        <is>
          <t>7899706141062</t>
        </is>
      </c>
      <c r="C85" s="8" t="inlineStr">
        <is>
          <t>PV - LIPIKAR LRP AOX FPS60 200ML</t>
        </is>
      </c>
      <c r="D85" s="9" t="n">
        <v>1</v>
      </c>
      <c r="E85" s="9" t="n">
        <v>1</v>
      </c>
      <c r="F85" s="9" t="n">
        <v>1</v>
      </c>
      <c r="G85" s="10" t="n">
        <v>124.6</v>
      </c>
      <c r="H85" s="8" t="inlineStr">
        <is>
          <t>nenhum distribuidor cotou</t>
        </is>
      </c>
    </row>
    <row r="86">
      <c r="A86" s="8" t="n">
        <v>290261</v>
      </c>
      <c r="B86" s="8" t="inlineStr">
        <is>
          <t>7894916510417</t>
        </is>
      </c>
      <c r="C86" s="8" t="inlineStr">
        <is>
          <t>PV - OLMY HCT 20+12,5MG CX 10 COMP REV</t>
        </is>
      </c>
      <c r="D86" s="9" t="n">
        <v>1</v>
      </c>
      <c r="E86" s="9" t="n">
        <v>1</v>
      </c>
      <c r="F86" s="9" t="n">
        <v>1</v>
      </c>
      <c r="G86" s="10" t="n">
        <v>49.1</v>
      </c>
      <c r="H86" s="8" t="inlineStr">
        <is>
          <t>sem estoque no ePan</t>
        </is>
      </c>
    </row>
    <row r="87">
      <c r="A87" s="8" t="n">
        <v>594491</v>
      </c>
      <c r="B87" s="8" t="inlineStr">
        <is>
          <t>7891106914031</t>
        </is>
      </c>
      <c r="C87" s="8" t="inlineStr">
        <is>
          <t>PV - PRIMOGYNA 1MG CX 28 DRG</t>
        </is>
      </c>
      <c r="D87" s="9" t="n">
        <v>1</v>
      </c>
      <c r="E87" s="9" t="n">
        <v>1</v>
      </c>
      <c r="F87" s="9" t="n">
        <v>1</v>
      </c>
      <c r="G87" s="10" t="n">
        <v>38.26</v>
      </c>
      <c r="H87" s="8" t="inlineStr">
        <is>
          <t>nenhum distribuidor cotou</t>
        </is>
      </c>
    </row>
    <row r="88">
      <c r="A88" s="8" t="n">
        <v>623721</v>
      </c>
      <c r="B88" s="8" t="inlineStr">
        <is>
          <t>7899706251068</t>
        </is>
      </c>
      <c r="C88" s="8" t="inlineStr">
        <is>
          <t>PV - SERUM FAC GARNIER ANTIAC 15ML</t>
        </is>
      </c>
      <c r="D88" s="9" t="n">
        <v>1</v>
      </c>
      <c r="E88" s="9" t="n">
        <v>1</v>
      </c>
      <c r="F88" s="9" t="n">
        <v>1</v>
      </c>
      <c r="G88" s="10" t="n">
        <v>49.18</v>
      </c>
      <c r="H88" s="8" t="inlineStr">
        <is>
          <t>nenhum distribuidor cotou</t>
        </is>
      </c>
    </row>
    <row r="89">
      <c r="A89" s="8" t="n">
        <v>633741</v>
      </c>
      <c r="B89" s="8" t="inlineStr">
        <is>
          <t>7896112403227</t>
        </is>
      </c>
      <c r="C89" s="8" t="inlineStr">
        <is>
          <t>PV BETA GLUCANA DE LEVEDURA CX 3 CAP</t>
        </is>
      </c>
      <c r="D89" s="9" t="n">
        <v>1</v>
      </c>
      <c r="E89" s="9" t="n">
        <v>1</v>
      </c>
      <c r="F89" s="9" t="n">
        <v>1</v>
      </c>
      <c r="G89" s="10" t="n">
        <v>38.5341666666667</v>
      </c>
      <c r="H89" s="8" t="inlineStr">
        <is>
          <t>nenhum distribuidor cotou</t>
        </is>
      </c>
    </row>
    <row r="90">
      <c r="A90" s="8" t="n">
        <v>623231</v>
      </c>
      <c r="B90" s="8" t="inlineStr">
        <is>
          <t>7899706197106</t>
        </is>
      </c>
      <c r="C90" s="8" t="inlineStr">
        <is>
          <t>PV DERMO REVITALIFT HIALU GEL PREENCH 50ML</t>
        </is>
      </c>
      <c r="D90" s="9" t="n">
        <v>1</v>
      </c>
      <c r="E90" s="9" t="n">
        <v>1</v>
      </c>
      <c r="F90" s="9" t="n">
        <v>1</v>
      </c>
      <c r="G90" s="10" t="n"/>
      <c r="H90" s="8" t="inlineStr">
        <is>
          <t>nenhum distribuidor cotou</t>
        </is>
      </c>
    </row>
    <row r="91">
      <c r="A91" s="8" t="n">
        <v>652031</v>
      </c>
      <c r="B91" s="8" t="inlineStr">
        <is>
          <t>7896094211438</t>
        </is>
      </c>
      <c r="C91" s="8" t="inlineStr">
        <is>
          <t>PV UMIDITA CALM CR 45G</t>
        </is>
      </c>
      <c r="D91" s="9" t="n">
        <v>1</v>
      </c>
      <c r="E91" s="9" t="n">
        <v>1</v>
      </c>
      <c r="F91" s="9" t="n">
        <v>1</v>
      </c>
      <c r="G91" s="10" t="n">
        <v>44.53</v>
      </c>
      <c r="H91" s="8" t="inlineStr">
        <is>
          <t>nenhum distribuidor cotou</t>
        </is>
      </c>
    </row>
    <row r="92">
      <c r="A92" s="8" t="n">
        <v>514881</v>
      </c>
      <c r="B92" s="8" t="inlineStr">
        <is>
          <t>7891317010478</t>
        </is>
      </c>
      <c r="C92" s="8" t="inlineStr">
        <is>
          <t>PVV - EBASTEL 10MG CX 30 COMP REV</t>
        </is>
      </c>
      <c r="D92" s="9" t="n">
        <v>1</v>
      </c>
      <c r="E92" s="9" t="n">
        <v>1</v>
      </c>
      <c r="F92" s="9" t="n">
        <v>1</v>
      </c>
      <c r="G92" s="10" t="n">
        <v>51.51</v>
      </c>
      <c r="H92" s="8" t="inlineStr">
        <is>
          <t>nenhum distribuidor cotou</t>
        </is>
      </c>
    </row>
    <row r="93">
      <c r="A93" s="8" t="n">
        <v>485721</v>
      </c>
      <c r="B93" s="8" t="inlineStr">
        <is>
          <t>7908020502722</t>
        </is>
      </c>
      <c r="C93" s="8" t="inlineStr">
        <is>
          <t>PYVERM 100MG CX 6 COMP REV</t>
        </is>
      </c>
      <c r="D93" s="9" t="n">
        <v>1</v>
      </c>
      <c r="E93" s="9" t="n">
        <v>1</v>
      </c>
      <c r="F93" s="9" t="n">
        <v>1</v>
      </c>
      <c r="G93" s="10" t="n">
        <v>24.08</v>
      </c>
      <c r="H93" s="8" t="inlineStr">
        <is>
          <t>nenhum distribuidor cotou</t>
        </is>
      </c>
    </row>
    <row r="94">
      <c r="A94" s="8" t="n">
        <v>658161</v>
      </c>
      <c r="B94" s="8" t="inlineStr">
        <is>
          <t>7898638348730</t>
        </is>
      </c>
      <c r="C94" s="8" t="inlineStr">
        <is>
          <t>Q+VITTA AZ 500MG 60CP</t>
        </is>
      </c>
      <c r="D94" s="9" t="n">
        <v>1</v>
      </c>
      <c r="E94" s="9" t="n">
        <v>1</v>
      </c>
      <c r="F94" s="9" t="n">
        <v>1</v>
      </c>
      <c r="G94" s="10" t="n">
        <v>13.59</v>
      </c>
      <c r="H94" s="8" t="inlineStr">
        <is>
          <t>nenhum distribuidor cotou</t>
        </is>
      </c>
    </row>
    <row r="95">
      <c r="A95" s="8" t="n">
        <v>657991</v>
      </c>
      <c r="B95" s="8" t="inlineStr">
        <is>
          <t>7898638348747</t>
        </is>
      </c>
      <c r="C95" s="8" t="inlineStr">
        <is>
          <t>Q+VITTA AZ HOMEM 500MG 60CPS</t>
        </is>
      </c>
      <c r="D95" s="9" t="n">
        <v>1</v>
      </c>
      <c r="E95" s="9" t="n">
        <v>2</v>
      </c>
      <c r="F95" s="9" t="n">
        <v>2</v>
      </c>
      <c r="G95" s="10" t="n">
        <v>14.9866666666667</v>
      </c>
      <c r="H95" s="8" t="inlineStr">
        <is>
          <t>nenhum distribuidor cotou</t>
        </is>
      </c>
    </row>
    <row r="96">
      <c r="A96" s="8" t="n">
        <v>650281</v>
      </c>
      <c r="B96" s="8" t="inlineStr">
        <is>
          <t>7898638348754</t>
        </is>
      </c>
      <c r="C96" s="8" t="inlineStr">
        <is>
          <t>Q+VITTA AZ MULHER 500MG 60CPS</t>
        </is>
      </c>
      <c r="D96" s="9" t="n">
        <v>1</v>
      </c>
      <c r="E96" s="9" t="n">
        <v>2</v>
      </c>
      <c r="F96" s="9" t="n">
        <v>2</v>
      </c>
      <c r="G96" s="10" t="n">
        <v>14.9866666666667</v>
      </c>
      <c r="H96" s="8" t="inlineStr">
        <is>
          <t>nenhum distribuidor cotou</t>
        </is>
      </c>
    </row>
    <row r="97">
      <c r="A97" s="8" t="n">
        <v>657981</v>
      </c>
      <c r="B97" s="8" t="inlineStr">
        <is>
          <t>7898638348785</t>
        </is>
      </c>
      <c r="C97" s="8" t="inlineStr">
        <is>
          <t>Q+VITTA CALCIO MDK 500MG 60CAPS</t>
        </is>
      </c>
      <c r="D97" s="9" t="n">
        <v>1</v>
      </c>
      <c r="E97" s="9" t="n">
        <v>1</v>
      </c>
      <c r="F97" s="9" t="n">
        <v>1</v>
      </c>
      <c r="G97" s="10" t="n">
        <v>21.1916666666667</v>
      </c>
      <c r="H97" s="8" t="inlineStr">
        <is>
          <t>nenhum distribuidor cotou</t>
        </is>
      </c>
    </row>
    <row r="98">
      <c r="A98" s="8" t="n">
        <v>45</v>
      </c>
      <c r="B98" s="8" t="inlineStr">
        <is>
          <t>7896004790640</t>
        </is>
      </c>
      <c r="C98" s="8" t="inlineStr">
        <is>
          <t>SABONETE LIQUIDO DERMACYD FEMINA FLORAL 200 ML</t>
        </is>
      </c>
      <c r="D98" s="9" t="n">
        <v>1</v>
      </c>
      <c r="E98" s="9" t="n">
        <v>1</v>
      </c>
      <c r="F98" s="9" t="n">
        <v>1</v>
      </c>
      <c r="G98" s="10" t="n"/>
      <c r="H98" s="8" t="inlineStr">
        <is>
          <t>nenhum distribuidor cotou</t>
        </is>
      </c>
    </row>
    <row r="99">
      <c r="A99" s="8" t="n">
        <v>318461</v>
      </c>
      <c r="B99" s="8" t="inlineStr">
        <is>
          <t>7896227800799</t>
        </is>
      </c>
      <c r="C99" s="8" t="inlineStr">
        <is>
          <t>SALONPAS 36,0MG+33,0MG+7,1MG CX 4 UNID. ADES TAM PEQ</t>
        </is>
      </c>
      <c r="D99" s="9" t="n">
        <v>1</v>
      </c>
      <c r="E99" s="9" t="n">
        <v>18</v>
      </c>
      <c r="F99" s="9" t="n">
        <v>18</v>
      </c>
      <c r="G99" s="10" t="n">
        <v>3.075</v>
      </c>
      <c r="H99" s="8" t="inlineStr">
        <is>
          <t>sem estoque na Nazária</t>
        </is>
      </c>
    </row>
    <row r="100">
      <c r="A100" s="8" t="n">
        <v>671301</v>
      </c>
      <c r="B100" s="8" t="inlineStr">
        <is>
          <t>7898652375736</t>
        </is>
      </c>
      <c r="C100" s="8" t="inlineStr">
        <is>
          <t>SERINGA 20ML LL AGULHA 0,7X25</t>
        </is>
      </c>
      <c r="D100" s="9" t="n">
        <v>1</v>
      </c>
      <c r="E100" s="9" t="n">
        <v>18</v>
      </c>
      <c r="F100" s="9" t="n">
        <v>18</v>
      </c>
      <c r="G100" s="10" t="n">
        <v>0.59</v>
      </c>
      <c r="H100" s="8" t="inlineStr">
        <is>
          <t>nenhum distribuidor cotou</t>
        </is>
      </c>
    </row>
    <row r="101">
      <c r="A101" s="8" t="n">
        <v>645561</v>
      </c>
      <c r="B101" s="8" t="inlineStr">
        <is>
          <t>7897930761209</t>
        </is>
      </c>
      <c r="C101" s="8" t="inlineStr">
        <is>
          <t>SOAPEX 1% SAB 80G-DEMAIS PROD</t>
        </is>
      </c>
      <c r="D101" s="9" t="n">
        <v>1</v>
      </c>
      <c r="E101" s="9" t="n">
        <v>1</v>
      </c>
      <c r="F101" s="9" t="n">
        <v>1</v>
      </c>
      <c r="G101" s="10" t="n">
        <v>35.09</v>
      </c>
      <c r="H101" s="8" t="inlineStr">
        <is>
          <t>nenhum distribuidor cotou</t>
        </is>
      </c>
    </row>
    <row r="102">
      <c r="A102" s="8" t="n">
        <v>609041</v>
      </c>
      <c r="B102" s="8" t="inlineStr">
        <is>
          <t>7897930750050</t>
        </is>
      </c>
      <c r="C102" s="8" t="inlineStr">
        <is>
          <t>SOAPEX SAB CREMO 120ML</t>
        </is>
      </c>
      <c r="D102" s="9" t="n">
        <v>1</v>
      </c>
      <c r="E102" s="9" t="n">
        <v>1</v>
      </c>
      <c r="F102" s="9" t="n">
        <v>1</v>
      </c>
      <c r="G102" s="10" t="n">
        <v>38.78</v>
      </c>
      <c r="H102" s="8" t="inlineStr">
        <is>
          <t>nenhum distribuidor cotou</t>
        </is>
      </c>
    </row>
    <row r="103">
      <c r="A103" s="8" t="n">
        <v>615421</v>
      </c>
      <c r="B103" s="8" t="inlineStr">
        <is>
          <t>4005900889737</t>
        </is>
      </c>
      <c r="C103" s="8" t="inlineStr">
        <is>
          <t>TONICO NIVEA AQUA ROSE 200ML</t>
        </is>
      </c>
      <c r="D103" s="9" t="n">
        <v>1</v>
      </c>
      <c r="E103" s="9" t="n">
        <v>1</v>
      </c>
      <c r="F103" s="9" t="n">
        <v>1</v>
      </c>
      <c r="G103" s="10" t="n">
        <v>25.87</v>
      </c>
      <c r="H103" s="8" t="inlineStr">
        <is>
          <t>nenhum distribuidor cotou</t>
        </is>
      </c>
    </row>
    <row r="104">
      <c r="A104" s="8" t="n">
        <v>654341</v>
      </c>
      <c r="B104" s="8" t="inlineStr">
        <is>
          <t>7891653014277</t>
        </is>
      </c>
      <c r="C104" s="8" t="inlineStr">
        <is>
          <t>VAGISIL DEO INTIMO FLOR DE PESSEGUEIRO 75ML</t>
        </is>
      </c>
      <c r="D104" s="9" t="n">
        <v>1</v>
      </c>
      <c r="E104" s="9" t="n">
        <v>1</v>
      </c>
      <c r="F104" s="9" t="n">
        <v>1</v>
      </c>
      <c r="G104" s="10" t="n">
        <v>22.8866666666667</v>
      </c>
      <c r="H104" s="8" t="inlineStr">
        <is>
          <t>nenhum distribuidor cotou</t>
        </is>
      </c>
    </row>
    <row r="105">
      <c r="A105" s="8" t="n">
        <v>547861</v>
      </c>
      <c r="B105" s="8" t="inlineStr">
        <is>
          <t>78900776</t>
        </is>
      </c>
      <c r="C105" s="8" t="inlineStr">
        <is>
          <t>VALDA CLASSIC LATA PASTILHAS 50G</t>
        </is>
      </c>
      <c r="D105" s="9" t="n">
        <v>10</v>
      </c>
      <c r="E105" s="9" t="n">
        <v>1</v>
      </c>
      <c r="F105" s="9" t="n">
        <v>10</v>
      </c>
      <c r="G105" s="10" t="n">
        <v>15.674</v>
      </c>
      <c r="H105" s="8" t="inlineStr">
        <is>
          <t>nenhum distribuidor cotou</t>
        </is>
      </c>
    </row>
    <row r="106">
      <c r="A106" s="8" t="n">
        <v>543061</v>
      </c>
      <c r="B106" s="8" t="inlineStr"/>
      <c r="C106" s="8" t="inlineStr">
        <is>
          <t>VALDA FRIENDS PASTILHA SACHE 25G</t>
        </is>
      </c>
      <c r="D106" s="9" t="n">
        <v>10</v>
      </c>
      <c r="E106" s="9" t="n">
        <v>1</v>
      </c>
      <c r="F106" s="9" t="n">
        <v>10</v>
      </c>
      <c r="G106" s="10" t="n">
        <v>5.734</v>
      </c>
      <c r="H106" s="8" t="inlineStr">
        <is>
          <t>nenhum distribuidor cotou</t>
        </is>
      </c>
    </row>
    <row r="107">
      <c r="A107" s="8" t="n">
        <v>615331</v>
      </c>
      <c r="B107" s="8" t="inlineStr">
        <is>
          <t>4005808881512</t>
        </is>
      </c>
      <c r="C107" s="8" t="inlineStr">
        <is>
          <t>VENCIDO - GEL NIVEA ANTI-CELULIT BYEBYE CEL 201ML</t>
        </is>
      </c>
      <c r="D107" s="9" t="n">
        <v>1</v>
      </c>
      <c r="E107" s="9" t="n">
        <v>1</v>
      </c>
      <c r="F107" s="9" t="n">
        <v>1</v>
      </c>
      <c r="G107" s="10" t="n">
        <v>38.975</v>
      </c>
      <c r="H107" s="8" t="inlineStr">
        <is>
          <t>nenhum distribuidor cotou</t>
        </is>
      </c>
    </row>
    <row r="108">
      <c r="A108" s="8" t="n">
        <v>612521</v>
      </c>
      <c r="B108" s="8" t="inlineStr">
        <is>
          <t>7891317011390</t>
        </is>
      </c>
      <c r="C108" s="8" t="inlineStr">
        <is>
          <t>VENCIDO - NAIRE 20MG CX 15 COMP</t>
        </is>
      </c>
      <c r="D108" s="9" t="n">
        <v>1</v>
      </c>
      <c r="E108" s="9" t="n">
        <v>1</v>
      </c>
      <c r="F108" s="9" t="n">
        <v>1</v>
      </c>
      <c r="G108" s="10" t="n">
        <v>51.49</v>
      </c>
      <c r="H108" s="8" t="inlineStr">
        <is>
          <t>nenhum distribuidor cotou</t>
        </is>
      </c>
    </row>
    <row r="109">
      <c r="A109" s="8" t="n">
        <v>319361</v>
      </c>
      <c r="B109" s="8" t="inlineStr">
        <is>
          <t>7891045008440</t>
        </is>
      </c>
      <c r="C109" s="8" t="inlineStr">
        <is>
          <t>VENCIDO - NORDETTE 0,15+0,03MG CARTELA C/21</t>
        </is>
      </c>
      <c r="D109" s="9" t="n">
        <v>1</v>
      </c>
      <c r="E109" s="9" t="n">
        <v>1</v>
      </c>
      <c r="F109" s="9" t="n">
        <v>1</v>
      </c>
      <c r="G109" s="10" t="n">
        <v>8.619999999999999</v>
      </c>
      <c r="H109" s="8" t="inlineStr">
        <is>
          <t>sem estoque no ePan</t>
        </is>
      </c>
    </row>
    <row r="110">
      <c r="A110" s="8" t="n">
        <v>993</v>
      </c>
      <c r="B110" s="8" t="inlineStr">
        <is>
          <t>75075644</t>
        </is>
      </c>
      <c r="C110" s="8" t="inlineStr">
        <is>
          <t>VICK BABY RUB 12G LATA</t>
        </is>
      </c>
      <c r="D110" s="9" t="n">
        <v>6</v>
      </c>
      <c r="E110" s="9" t="n">
        <v>8</v>
      </c>
      <c r="F110" s="9" t="n">
        <v>48</v>
      </c>
      <c r="G110" s="10" t="n">
        <v>13.1538</v>
      </c>
      <c r="H110" s="8" t="inlineStr">
        <is>
          <t>nenhum distribuidor cotou</t>
        </is>
      </c>
    </row>
    <row r="111">
      <c r="A111" s="8" t="n">
        <v>600581</v>
      </c>
      <c r="B111" s="8" t="inlineStr">
        <is>
          <t>7501001246730</t>
        </is>
      </c>
      <c r="C111" s="8" t="inlineStr">
        <is>
          <t>VICK LATINHA 12G</t>
        </is>
      </c>
      <c r="D111" s="9" t="n">
        <v>24</v>
      </c>
      <c r="E111" s="9" t="n">
        <v>6</v>
      </c>
      <c r="F111" s="9" t="n">
        <v>144</v>
      </c>
      <c r="G111" s="10" t="n">
        <v>11.9136</v>
      </c>
      <c r="H111" s="8" t="inlineStr">
        <is>
          <t>nenhum distribuidor cotou</t>
        </is>
      </c>
    </row>
    <row r="112">
      <c r="A112" s="8" t="n">
        <v>395921</v>
      </c>
      <c r="B112" s="8" t="inlineStr">
        <is>
          <t>78911246</t>
        </is>
      </c>
      <c r="C112" s="8" t="inlineStr">
        <is>
          <t>VICK PYRENA 500MG CHA MEL E LIMAO 5G - CAIXA</t>
        </is>
      </c>
      <c r="D112" s="9" t="n">
        <v>50</v>
      </c>
      <c r="E112" s="9" t="n">
        <v>4</v>
      </c>
      <c r="F112" s="9" t="n">
        <v>200</v>
      </c>
      <c r="G112" s="10" t="n">
        <v>2.769</v>
      </c>
      <c r="H112" s="8" t="inlineStr">
        <is>
          <t>nenhum distribuidor cotou</t>
        </is>
      </c>
    </row>
    <row r="113">
      <c r="A113" s="8" t="n">
        <v>542821</v>
      </c>
      <c r="B113" s="8" t="inlineStr">
        <is>
          <t>789112444</t>
        </is>
      </c>
      <c r="C113" s="8" t="inlineStr">
        <is>
          <t>VICK VAPORUB 30G POTE</t>
        </is>
      </c>
      <c r="D113" s="9" t="n">
        <v>1</v>
      </c>
      <c r="E113" s="9" t="n">
        <v>4</v>
      </c>
      <c r="F113" s="9" t="n">
        <v>4</v>
      </c>
      <c r="G113" s="10" t="n">
        <v>28.35</v>
      </c>
      <c r="H113" s="8" t="inlineStr">
        <is>
          <t>nenhum distribuidor cotou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2026-09-05T13:07:44Z</dcterms:created>
  <dcterms:modified xsi:type="dcterms:W3CDTF">2026-09-05T13:07:44Z</dcterms:modified>
</cp:coreProperties>
</file>